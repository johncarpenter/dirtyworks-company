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8a04f0ef5649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18949b8b998410f"/>
    <x:sheet xmlns:r="http://schemas.openxmlformats.org/officeDocument/2006/relationships" name="Client Quote" sheetId="2" r:id="Rca18f93a82f14e4f"/>
    <x:sheet xmlns:r="http://schemas.openxmlformats.org/officeDocument/2006/relationships" name="Configuration" sheetId="3" r:id="Rd0a454a9870f4327"/>
    <x:sheet xmlns:r="http://schemas.openxmlformats.org/officeDocument/2006/relationships" name="Catalog" sheetId="4" r:id="R5148554594a34070"/>
    <x:sheet xmlns:r="http://schemas.openxmlformats.org/officeDocument/2006/relationships" name="Fee Schedule" sheetId="5" r:id="R2f11c0a174e04b3e"/>
    <x:sheet xmlns:r="http://schemas.openxmlformats.org/officeDocument/2006/relationships" name="Sources" sheetId="6" r:id="Rf076204565ed4738"/>
    <x:sheet xmlns:r="http://schemas.openxmlformats.org/officeDocument/2006/relationships" name="Checks" sheetId="7" r:id="Re1f771703d234c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$#,##0.00"/>
    <x:numFmt numFmtId="202" formatCode="0.0000"/>
    <x:numFmt numFmtId="203" formatCode="yyyy-mm-dd"/>
    <x:numFmt numFmtId="204" formatCode="0"/>
  </x:numFmts>
  <x:fonts count="12">
    <x:font>
      <x:sz val="11"/>
      <x:name val="Carlito"/>
    </x:font>
    <x:font>
      <x:b/>
      <x:sz val="22"/>
      <x:color rgb="FFFFFFFF"/>
      <x:name val="Carlito"/>
    </x:font>
    <x:font>
      <x:i/>
      <x:sz val="10"/>
      <x:color rgb="FF4D4D4D"/>
      <x:name val="Carlito"/>
    </x:font>
    <x:font>
      <x:b/>
      <x:sz val="12"/>
      <x:color rgb="FFFFFFFF"/>
      <x:name val="Carlito"/>
    </x:font>
    <x:font>
      <x:b/>
      <x:sz val="13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11"/>
      <x:color rgb="FF114A8B"/>
      <x:name val="Carlito"/>
    </x:font>
    <x:font>
      <x:b/>
      <x:sz val="12"/>
      <x:color rgb="FF171717"/>
      <x:name val="Carlito"/>
    </x:font>
    <x:font>
      <x:sz val="10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7F3EA"/>
      </x:patternFill>
    </x:fill>
    <x:fill>
      <x:patternFill patternType="solid">
        <x:fgColor rgb="FFF4512C"/>
      </x:patternFill>
    </x:fill>
    <x:fill>
      <x:patternFill patternType="solid">
        <x:fgColor rgb="FFD9FF43"/>
      </x:patternFill>
    </x:fill>
    <x:fill>
      <x:patternFill patternType="solid">
        <x:fgColor rgb="FFFFFFFF"/>
      </x:patternFill>
    </x:fill>
    <x:fill>
      <x:patternFill patternType="solid">
        <x:fgColor rgb="FFFFF1B8"/>
      </x:patternFill>
    </x:fill>
    <x:fill>
      <x:patternFill patternType="solid">
        <x:fgColor rgb="FFE8F1FF"/>
      </x:patternFill>
    </x:fill>
    <x:fill>
      <x:patternFill patternType="solid">
        <x:fgColor rgb="FFE7E3DA"/>
      </x:patternFill>
    </x:fill>
    <x:fill>
      <x:patternFill patternType="solid">
        <x:fgColor rgb="FFDDF3E4"/>
      </x:patternFill>
    </x:fill>
  </x:fills>
  <x:borders count="3">
    <x:border/>
    <x:border>
      <x:left style="thin">
        <x:color rgb="FFD1CDC4"/>
      </x:left>
      <x:right style="thin">
        <x:color rgb="FFD1CDC4"/>
      </x:right>
      <x:top style="thin">
        <x:color rgb="FFD1CDC4"/>
      </x:top>
      <x:bottom style="thin">
        <x:color rgb="FFD1CDC4"/>
      </x:bottom>
    </x:border>
    <x:border>
      <x:left style="thin">
        <x:color rgb="FF5C5C5C"/>
      </x:left>
      <x:right style="thin">
        <x:color rgb="FF5C5C5C"/>
      </x:right>
      <x:top style="thin">
        <x:color rgb="FF5C5C5C"/>
      </x:top>
      <x:bottom style="thin">
        <x:color rgb="FF5C5C5C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top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left" wrapText="1"/>
    </x:xf>
    <x:xf numFmtId="0" fontId="5" fillId="2" borderId="2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left" vertical="top" wrapText="1"/>
    </x:xf>
    <x:xf numFmtId="0" fontId="6" fillId="4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wrapText="1"/>
    </x:xf>
    <x:xf numFmtId="201" fontId="0" fillId="8" borderId="1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wrapText="1"/>
    </x:xf>
    <x:xf numFmtId="0" fontId="7" fillId="9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200" fontId="7" fillId="9" borderId="1" xfId="0" applyNumberFormat="1" applyFont="1" applyFill="1" applyBorder="1" applyAlignment="1">
      <x:alignment vertical="top" wrapText="1"/>
    </x:xf>
    <x:xf numFmtId="202" fontId="7" fillId="9" borderId="1" xfId="0" applyNumberFormat="1" applyFont="1" applyFill="1" applyBorder="1" applyAlignment="1">
      <x:alignment vertical="top" wrapText="1"/>
    </x:xf>
    <x:xf numFmtId="201" fontId="7" fillId="3" borderId="1" xfId="0" applyNumberFormat="1" applyFont="1" applyFill="1" applyBorder="1" applyAlignment="1">
      <x:alignment vertical="top" wrapText="1"/>
    </x:xf>
    <x:xf numFmtId="201" fontId="7" fillId="8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/>
    <x:xf numFmtId="0" fontId="6" fillId="2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/>
    </x:xf>
    <x:xf numFmtId="203" fontId="8" fillId="8" borderId="1" xfId="0" applyNumberFormat="1" applyFont="1" applyFill="1" applyBorder="1" applyAlignment="1">
      <x:alignment vertical="top"/>
    </x:xf>
    <x:xf numFmtId="204" fontId="8" fillId="8" borderId="1" xfId="0" applyNumberFormat="1" applyFont="1" applyFill="1" applyBorder="1" applyAlignment="1">
      <x:alignment vertical="top"/>
    </x:xf>
    <x:xf numFmtId="202" fontId="8" fillId="8" borderId="1" xfId="0" applyNumberFormat="1" applyFont="1" applyFill="1" applyBorder="1" applyAlignment="1">
      <x:alignment vertical="top"/>
    </x:xf>
    <x:xf numFmtId="0" fontId="9" fillId="5" borderId="0" xfId="0" applyNumberFormat="1" applyFont="1" applyFill="1" applyBorder="1"/>
    <x:xf numFmtId="201" fontId="9" fillId="5" borderId="0" xfId="0" applyNumberFormat="1" applyFont="1" applyFill="1" applyBorder="1"/>
    <x:xf numFmtId="0" fontId="9" fillId="5" borderId="1" xfId="0" applyNumberFormat="1" applyFont="1" applyFill="1" applyBorder="1"/>
    <x:xf numFmtId="201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vertical="top"/>
    </x:xf>
    <x:xf numFmtId="201" fontId="9" fillId="5" borderId="1" xfId="0" applyNumberFormat="1" applyFont="1" applyFill="1" applyBorder="1" applyAlignment="1">
      <x:alignment vertical="top"/>
    </x:xf>
    <x:xf numFmtId="0" fontId="7" fillId="3" borderId="0" xfId="0" applyNumberFormat="1" applyFont="1" applyFill="1" applyBorder="1"/>
    <x:xf numFmtId="201" fontId="7" fillId="6" borderId="0" xfId="0" applyNumberFormat="1" applyFont="1" applyFill="1" applyBorder="1" applyAlignment="1">
      <x:alignment wrapText="1"/>
    </x:xf>
    <x:xf numFmtId="201" fontId="7" fillId="6" borderId="1" xfId="0" applyNumberFormat="1" applyFont="1" applyFill="1" applyBorder="1" applyAlignment="1">
      <x:alignment wrapText="1"/>
    </x:xf>
    <x:xf numFmtId="201" fontId="7" fillId="6" borderId="1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10" borderId="1" xfId="0" applyNumberFormat="1" applyFont="1" applyFill="1" applyBorder="1" applyAlignment="1">
      <x:alignment wrapText="1"/>
    </x:xf>
    <x:xf numFmtId="0" fontId="11" fillId="1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8B1E12"/>
      </x:font>
      <x:fill>
        <x:patternFill patternType="solid">
          <x:bgColor rgb="FFFADBD6"/>
        </x:patternFill>
      </x:fill>
    </x:dxf>
    <x:dxf>
      <x:font>
        <x:b/>
        <x:color rgb="FF6A4A00"/>
      </x:font>
      <x:fill>
        <x:patternFill patternType="solid">
          <x:bgColor rgb="FFFFF1B8"/>
        </x:patternFill>
      </x:fill>
    </x:dxf>
    <x:dxf>
      <x:font>
        <x:b/>
        <x:color rgb="FF8B1E12"/>
      </x:font>
      <x:fill>
        <x:patternFill patternType="solid">
          <x:bgColor rgb="FFFADBD6"/>
        </x:patternFill>
      </x:fill>
    </x:dxf>
    <x:dxf>
      <x:font>
        <x:b/>
        <x:color rgb="FF8B1E12"/>
      </x:font>
      <x:fill>
        <x:patternFill patternType="solid">
          <x:bgColor rgb="FFFADBD6"/>
        </x:patternFill>
      </x:fill>
    </x:dxf>
    <x:dxf>
      <x:font>
        <x:b/>
        <x:color rgb="FF6A4A00"/>
      </x:font>
      <x:fill>
        <x:patternFill patternType="solid">
          <x:bgColor rgb="FFFFF1B8"/>
        </x:patternFill>
      </x:fill>
    </x:dxf>
    <x:dxf>
      <x:font>
        <x:b/>
        <x:color rgb="FF8B1E12"/>
      </x:font>
      <x:fill>
        <x:patternFill patternType="solid">
          <x:bgColor rgb="FFFADBD6"/>
        </x:patternFill>
      </x:fill>
    </x:dxf>
    <x:dxf>
      <x:font>
        <x:b/>
        <x:color rgb="FF8B1E12"/>
      </x:font>
      <x:fill>
        <x:patternFill patternType="solid">
          <x:bgColor rgb="FFFADBD6"/>
        </x:patternFill>
      </x:fill>
    </x:dxf>
    <x:dxf>
      <x:font>
        <x:b/>
        <x:color rgb="FF6A4A00"/>
      </x:font>
      <x:fill>
        <x:patternFill patternType="solid">
          <x:bgColor rgb="FFFFF1B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c5cf0a6434601" /><Relationship Type="http://schemas.openxmlformats.org/officeDocument/2006/relationships/theme" Target="/xl/theme/theme1.xml" Id="R40d97094dbec49ef" /><Relationship Type="http://schemas.openxmlformats.org/officeDocument/2006/relationships/sharedStrings" Target="/xl/sharedStrings.xml" Id="R123ab13159e2452c" /><Relationship Type="http://schemas.openxmlformats.org/officeDocument/2006/relationships/worksheet" Target="/xl/worksheets/sheet1.xml" Id="R818949b8b998410f" /><Relationship Type="http://schemas.openxmlformats.org/officeDocument/2006/relationships/worksheet" Target="/xl/worksheets/sheet2.xml" Id="Rca18f93a82f14e4f" /><Relationship Type="http://schemas.openxmlformats.org/officeDocument/2006/relationships/worksheet" Target="/xl/worksheets/sheet3.xml" Id="Rd0a454a9870f4327" /><Relationship Type="http://schemas.openxmlformats.org/officeDocument/2006/relationships/worksheet" Target="/xl/worksheets/sheet4.xml" Id="R5148554594a34070" /><Relationship Type="http://schemas.openxmlformats.org/officeDocument/2006/relationships/worksheet" Target="/xl/worksheets/sheet5.xml" Id="R2f11c0a174e04b3e" /><Relationship Type="http://schemas.openxmlformats.org/officeDocument/2006/relationships/worksheet" Target="/xl/worksheets/sheet6.xml" Id="Rf076204565ed4738" /><Relationship Type="http://schemas.openxmlformats.org/officeDocument/2006/relationships/worksheet" Target="/xl/worksheets/sheet7.xml" Id="Re1f771703d234c9d" /></Relationships>
</file>

<file path=xl/tables/table1.xml><?xml version="1.0" encoding="utf-8"?>
<x:table xmlns:x="http://schemas.openxmlformats.org/spreadsheetml/2006/main" id="1" name="ProductCatalog" displayName="ProductCatalog" ref="A4:S30" headerRowCount="1" totalsRowCount="0" totalsRowShown="0">
  <x:tableColumns count="19">
    <x:tableColumn id="1" name="Product ID"/>
    <x:tableColumn id="2" name="Menu"/>
    <x:tableColumn id="3" name="Vendor"/>
    <x:tableColumn id="4" name="Product"/>
    <x:tableColumn id="5" name="Plan / SKU"/>
    <x:tableColumn id="6" name="Primary job"/>
    <x:tableColumn id="7" name="Billing basis"/>
    <x:tableColumn id="8" name="Currency"/>
    <x:tableColumn id="9" name="Billing term"/>
    <x:tableColumn id="10" name="Public unit price / monthly equivalent"/>
    <x:tableColumn id="11" name="Minimum"/>
    <x:tableColumn id="12" name="Commercial path"/>
    <x:tableColumn id="13" name="Resale / partner status"/>
    <x:tableColumn id="14" name="Default tier"/>
    <x:tableColumn id="15" name="Catalogue state"/>
    <x:tableColumn id="16" name="Prerequisite"/>
    <x:tableColumn id="17" name="Operating note"/>
    <x:tableColumn id="18" name="Price source"/>
    <x:tableColumn id="19" name="Captur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Register" displayName="SourceRegister" ref="A4:F30" headerRowCount="1" totalsRowCount="0" totalsRowShown="0">
  <x:tableColumns count="6">
    <x:tableColumn id="1" name="Vendor / topic"/>
    <x:tableColumn id="2" name="Source"/>
    <x:tableColumn id="3" name="Captured"/>
    <x:tableColumn id="4" name="What it supports"/>
    <x:tableColumn id="5" name="Quote-time check"/>
    <x:tableColumn id="6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533977ead174f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727e758db3d34d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0" customHeight="1">
      <x:c r="A1" s="3" t="str">
        <x:v>DIRTYWORKS.AI / PRODUCT COMPOSER</x:v>
      </x:c>
      <x:c r="B1" s="3" t="str">
        <x:v>DIRTYWORKS.AI / PRODUCT COMPOSER</x:v>
      </x:c>
      <x:c r="C1" s="3" t="str">
        <x:v>DIRTYWORKS.AI / PRODUCT COMPOSER</x:v>
      </x:c>
      <x:c r="D1" s="3" t="str">
        <x:v>DIRTYWORKS.AI / PRODUCT COMPOSER</x:v>
      </x:c>
      <x:c r="E1" s="3" t="str">
        <x:v>DIRTYWORKS.AI / PRODUCT COMPOSER</x:v>
      </x:c>
      <x:c r="F1" s="3" t="str">
        <x:v>DIRTYWORKS.AI / PRODUCT COMPOSER</x:v>
      </x:c>
      <x:c r="G1" s="3" t="str">
        <x:v>DIRTYWORKS.AI / PRODUCT COMPOSER</x:v>
      </x:c>
      <x:c r="H1" s="3" t="str">
        <x:v>DIRTYWORKS.AI / PRODUCT COMPOSER</x:v>
      </x:c>
    </x:row>
    <x:row r="2" ht="34" customHeight="1">
      <x:c r="A2" s="7" t="str">
        <x:v>A governed catalogue and estimating tool. It is not a vendor price book, binding order form, or proof of reseller authorization.</x:v>
      </x:c>
      <x:c r="B2" s="7" t="str">
        <x:v>A governed catalogue and estimating tool. It is not a vendor price book, binding order form, or proof of reseller authorization.</x:v>
      </x:c>
      <x:c r="C2" s="7" t="str">
        <x:v>A governed catalogue and estimating tool. It is not a vendor price book, binding order form, or proof of reseller authorization.</x:v>
      </x:c>
      <x:c r="D2" s="7" t="str">
        <x:v>A governed catalogue and estimating tool. It is not a vendor price book, binding order form, or proof of reseller authorization.</x:v>
      </x:c>
      <x:c r="E2" s="7" t="str">
        <x:v>A governed catalogue and estimating tool. It is not a vendor price book, binding order form, or proof of reseller authorization.</x:v>
      </x:c>
      <x:c r="F2" s="7" t="str">
        <x:v>A governed catalogue and estimating tool. It is not a vendor price book, binding order form, or proof of reseller authorization.</x:v>
      </x:c>
      <x:c r="G2" s="7" t="str">
        <x:v>A governed catalogue and estimating tool. It is not a vendor price book, binding order form, or proof of reseller authorization.</x:v>
      </x:c>
      <x:c r="H2" s="7" t="str">
        <x:v>A governed catalogue and estimating tool. It is not a vendor price book, binding order form, or proof of reseller authorization.</x:v>
      </x:c>
    </x:row>
    <x:row r="4" ht="24" customHeight="1">
      <x:c r="A4" s="10" t="str">
        <x:v>HOW TO USE IT</x:v>
      </x:c>
      <x:c r="B4" s="10" t="str">
        <x:v>HOW TO USE IT</x:v>
      </x:c>
      <x:c r="C4" s="10" t="str">
        <x:v>HOW TO USE IT</x:v>
      </x:c>
      <x:c r="D4" s="10" t="str">
        <x:v>HOW TO USE IT</x:v>
      </x:c>
      <x:c r="E4" s="10" t="str">
        <x:v>HOW TO USE IT</x:v>
      </x:c>
      <x:c r="F4" s="10" t="str">
        <x:v>HOW TO USE IT</x:v>
      </x:c>
      <x:c r="G4" s="10" t="str">
        <x:v>HOW TO USE IT</x:v>
      </x:c>
      <x:c r="H4" s="10" t="str">
        <x:v>HOW TO USE IT</x:v>
      </x:c>
    </x:row>
    <x:row r="5" ht="34" customHeight="1">
      <x:c r="A5" s="18" t="str">
        <x:v>1</x:v>
      </x:c>
      <x:c r="B5" s="19" t="str">
        <x:v>Set client details and quote-time USD/CAD rate</x:v>
      </x:c>
      <x:c r="C5" s="19" t="str">
        <x:v>Client Quote</x:v>
      </x:c>
      <x:c r="D5" s="19" t="str">
        <x:v>Blue cells are inputs</x:v>
      </x:c>
      <x:c r="E5" t="str"/>
      <x:c r="F5" t="str"/>
      <x:c r="G5" t="str"/>
      <x:c r="H5" t="str"/>
    </x:row>
    <x:row r="6" ht="34" customHeight="1">
      <x:c r="A6" s="18" t="str">
        <x:v>2</x:v>
      </x:c>
      <x:c r="B6" s="19" t="str">
        <x:v>Select product IDs, quantities or usage budgets, managed users, and optional overrides</x:v>
      </x:c>
      <x:c r="C6" s="19" t="str">
        <x:v>Configuration</x:v>
      </x:c>
      <x:c r="D6" s="19" t="str">
        <x:v>Yellow cells require judgment</x:v>
      </x:c>
      <x:c r="E6" t="str"/>
      <x:c r="F6" t="str"/>
      <x:c r="G6" t="str"/>
      <x:c r="H6" t="str"/>
    </x:row>
    <x:row r="7" ht="34" customHeight="1">
      <x:c r="A7" s="18" t="str">
        <x:v>3</x:v>
      </x:c>
      <x:c r="B7" s="19" t="str">
        <x:v>Review minimums, prerequisites, purchase path, catalogue state, and VERIFY flags</x:v>
      </x:c>
      <x:c r="C7" s="19" t="str">
        <x:v>Configuration / Catalog</x:v>
      </x:c>
      <x:c r="D7" s="19" t="str">
        <x:v>Resolve before a binding order</x:v>
      </x:c>
      <x:c r="E7" t="str"/>
      <x:c r="F7" t="str"/>
      <x:c r="G7" t="str"/>
      <x:c r="H7" t="str"/>
    </x:row>
    <x:row r="8" ht="34" customHeight="1">
      <x:c r="A8" s="18" t="str">
        <x:v>4</x:v>
      </x:c>
      <x:c r="B8" s="19" t="str">
        <x:v>Choose Register, Manage, or Operate; adjust working fee hypotheses if approved</x:v>
      </x:c>
      <x:c r="C8" s="19" t="str">
        <x:v>Fee Schedule</x:v>
      </x:c>
      <x:c r="D8" s="19" t="str">
        <x:v>Management is separate from vendor cost</x:v>
      </x:c>
      <x:c r="E8" t="str"/>
      <x:c r="F8" t="str"/>
      <x:c r="G8" t="str"/>
      <x:c r="H8" t="str"/>
    </x:row>
    <x:row r="9" ht="34" customHeight="1">
      <x:c r="A9" s="18" t="str">
        <x:v>5</x:v>
      </x:c>
      <x:c r="B9" s="19" t="str">
        <x:v>Present the Client Quote; retain the workbook version and assumptions</x:v>
      </x:c>
      <x:c r="C9" s="19" t="str">
        <x:v>Client Quote</x:v>
      </x:c>
      <x:c r="D9" s="19" t="str">
        <x:v>Customer-direct vendor charges are estimates</x:v>
      </x:c>
      <x:c r="E9" t="str"/>
      <x:c r="F9" t="str"/>
      <x:c r="G9" t="str"/>
      <x:c r="H9" t="str"/>
    </x:row>
    <x:row r="10" ht="34" customHeight="1">
      <x:c r="A10" s="18" t="str">
        <x:v>6</x:v>
      </x:c>
      <x:c r="B10" s="19" t="str">
        <x:v>Use Checks before issue</x:v>
      </x:c>
      <x:c r="C10" s="19" t="str">
        <x:v>Checks</x:v>
      </x:c>
      <x:c r="D10" s="19" t="str">
        <x:v>PASS is arithmetic readiness, not commercial approval</x:v>
      </x:c>
      <x:c r="E10" t="str"/>
      <x:c r="F10" t="str"/>
      <x:c r="G10" t="str"/>
      <x:c r="H10" t="str"/>
    </x:row>
    <x:row r="13" ht="24" customHeight="1">
      <x:c r="A13" s="10" t="str">
        <x:v>COMMERCIAL PATHS</x:v>
      </x:c>
      <x:c r="B13" s="10" t="str">
        <x:v>COMMERCIAL PATHS</x:v>
      </x:c>
      <x:c r="C13" s="10" t="str">
        <x:v>COMMERCIAL PATHS</x:v>
      </x:c>
      <x:c r="D13" s="10" t="str">
        <x:v>COMMERCIAL PATHS</x:v>
      </x:c>
      <x:c r="E13" s="10" t="str">
        <x:v>COMMERCIAL PATHS</x:v>
      </x:c>
      <x:c r="F13" s="10" t="str">
        <x:v>COMMERCIAL PATHS</x:v>
      </x:c>
      <x:c r="G13" s="10" t="str">
        <x:v>COMMERCIAL PATHS</x:v>
      </x:c>
      <x:c r="H13" s="10" t="str">
        <x:v>COMMERCIAL PATHS</x:v>
      </x:c>
    </x:row>
    <x:row r="14" ht="34" customHeight="1">
      <x:c r="A14" s="26" t="str">
        <x:v>Code</x:v>
      </x:c>
      <x:c r="B14" s="26" t="str">
        <x:v>Who contracts/pays vendor</x:v>
      </x:c>
      <x:c r="C14" s="26" t="str">
        <x:v>Dirtyworks.ai role</x:v>
      </x:c>
      <x:c r="D14" s="26" t="str">
        <x:v>Control</x:v>
      </x:c>
    </x:row>
    <x:row r="15" ht="42" customHeight="1">
      <x:c r="A15" s="19" t="str">
        <x:v>CUST-DIRECT</x:v>
      </x:c>
      <x:c r="B15" s="19" t="str">
        <x:v>Client</x:v>
      </x:c>
      <x:c r="C15" s="19" t="str">
        <x:v>Deploy and administer</x:v>
      </x:c>
      <x:c r="D15" s="19" t="str">
        <x:v>Show vendor cost as estimate; do not book it as Dirtyworks.ai revenue</x:v>
      </x:c>
    </x:row>
    <x:row r="16" ht="42" customHeight="1">
      <x:c r="A16" s="19" t="str">
        <x:v>AUTH-RESELL</x:v>
      </x:c>
      <x:c r="B16" s="19" t="str">
        <x:v>Dirtyworks.ai / authorized channel</x:v>
      </x:c>
      <x:c r="C16" s="19" t="str">
        <x:v>Seller plus managed operator</x:v>
      </x:c>
      <x:c r="D16" s="19" t="str">
        <x:v>Requires current SKU/geography authorization, price book, tax, support, renewal, and cancellation rules</x:v>
      </x:c>
    </x:row>
    <x:row r="17" ht="42" customHeight="1">
      <x:c r="A17" s="19" t="str">
        <x:v>CLOUD-MKT</x:v>
      </x:c>
      <x:c r="B17" s="19" t="str">
        <x:v>Client cloud tenant</x:v>
      </x:c>
      <x:c r="C17" s="19" t="str">
        <x:v>Architecture and managed operation</x:v>
      </x:c>
      <x:c r="D17" s="19" t="str">
        <x:v>Budget, alert, approval, and access controls required</x:v>
      </x:c>
    </x:row>
    <x:row r="18" ht="42" customHeight="1">
      <x:c r="A18" s="19" t="str">
        <x:v>OSS-MANAGED</x:v>
      </x:c>
      <x:c r="B18" s="19" t="str">
        <x:v>Client owns infrastructure</x:v>
      </x:c>
      <x:c r="C18" s="19" t="str">
        <x:v>Deploy and operate</x:v>
      </x:c>
      <x:c r="D18" s="19" t="str">
        <x:v>Review licence and charge for infrastructure/operations, not a fictitious licence</x:v>
      </x:c>
    </x:row>
    <x:row r="19" ht="42" customHeight="1">
      <x:c r="A19" s="19" t="str">
        <x:v>PARTNER / VERIFY</x:v>
      </x:c>
      <x:c r="B19" s="19" t="str">
        <x:v>Depends on contract</x:v>
      </x:c>
      <x:c r="C19" s="19" t="str">
        <x:v>Referral, co-sell, or unresolved</x:v>
      </x:c>
      <x:c r="D19" s="19" t="str">
        <x:v>Partner-program availability does not prove resale rights</x:v>
      </x:c>
    </x:row>
    <x:row r="22" ht="24" customHeight="1">
      <x:c r="A22" s="10" t="str">
        <x:v>NON-NEGOTIABLE DEFAULTS</x:v>
      </x:c>
      <x:c r="B22" s="10" t="str">
        <x:v>NON-NEGOTIABLE DEFAULTS</x:v>
      </x:c>
      <x:c r="C22" s="10" t="str">
        <x:v>NON-NEGOTIABLE DEFAULTS</x:v>
      </x:c>
      <x:c r="D22" s="10" t="str">
        <x:v>NON-NEGOTIABLE DEFAULTS</x:v>
      </x:c>
      <x:c r="E22" s="10" t="str">
        <x:v>NON-NEGOTIABLE DEFAULTS</x:v>
      </x:c>
      <x:c r="F22" s="10" t="str">
        <x:v>NON-NEGOTIABLE DEFAULTS</x:v>
      </x:c>
      <x:c r="G22" s="10" t="str">
        <x:v>NON-NEGOTIABLE DEFAULTS</x:v>
      </x:c>
      <x:c r="H22" s="10" t="str">
        <x:v>NON-NEGOTIABLE DEFAULTS</x:v>
      </x:c>
    </x:row>
    <x:row r="23" ht="32" customHeight="1">
      <x:c r="A23" s="27" t="str">
        <x:v>CUSTOMER OWNS</x:v>
      </x:c>
      <x:c r="B23" s="28" t="str">
        <x:v>Tenant, data, billing account, recovery path, and exportable work products remain customer-owned by default.</x:v>
      </x:c>
      <x:c r="C23" s="28" t="str"/>
      <x:c r="D23" s="28" t="str"/>
      <x:c r="E23" s="28" t="str"/>
      <x:c r="F23" s="28" t="str"/>
      <x:c r="G23" s="28" t="str"/>
      <x:c r="H23" s="28" t="str"/>
    </x:row>
    <x:row r="24" ht="32" customHeight="1">
      <x:c r="A24" s="27" t="str">
        <x:v>NO SHARED SEATS</x:v>
      </x:c>
      <x:c r="B24" s="28" t="str">
        <x:v>Use named accounts and least-privilege administration; never share seats to avoid licence cost.</x:v>
      </x:c>
      <x:c r="C24" s="28" t="str"/>
      <x:c r="D24" s="28" t="str"/>
      <x:c r="E24" s="28" t="str"/>
      <x:c r="F24" s="28" t="str"/>
      <x:c r="G24" s="28" t="str"/>
      <x:c r="H24" s="28" t="str"/>
    </x:row>
    <x:row r="25" ht="32" customHeight="1">
      <x:c r="A25" s="27" t="str">
        <x:v>VERIFY AT QUOTE</x:v>
      </x:c>
      <x:c r="B25" s="28" t="str">
        <x:v>Vendor price, plan, minimum, promotion, commitment, product availability, and commercial rights can change.</x:v>
      </x:c>
      <x:c r="C25" s="28" t="str"/>
      <x:c r="D25" s="28" t="str"/>
      <x:c r="E25" s="28" t="str"/>
      <x:c r="F25" s="28" t="str"/>
      <x:c r="G25" s="28" t="str"/>
      <x:c r="H25" s="28" t="str"/>
    </x:row>
    <x:row r="26" ht="32" customHeight="1">
      <x:c r="A26" s="27" t="str">
        <x:v>SEPARATE THE MONEY</x:v>
      </x:c>
      <x:c r="B26" s="28" t="str">
        <x:v>Vendor estimate, Dirtyworks.ai one-time work, and Dirtyworks.ai monthly operation must be visible separately.</x:v>
      </x:c>
      <x:c r="C26" s="28" t="str"/>
      <x:c r="D26" s="28" t="str"/>
      <x:c r="E26" s="28" t="str"/>
      <x:c r="F26" s="28" t="str"/>
      <x:c r="G26" s="28" t="str"/>
      <x:c r="H26" s="28" t="str"/>
    </x:row>
    <x:row r="27" ht="32" customHeight="1">
      <x:c r="A27" s="27" t="str">
        <x:v>CATALOGUE ≠ APPROVAL</x:v>
      </x:c>
      <x:c r="B27" s="28" t="str">
        <x:v>A product still requires use-case, data, security, privacy, identity, and operating review.</x:v>
      </x:c>
      <x:c r="C27" s="28" t="str"/>
      <x:c r="D27" s="28" t="str"/>
      <x:c r="E27" s="28" t="str"/>
      <x:c r="F27" s="28" t="str"/>
      <x:c r="G27" s="28" t="str"/>
      <x:c r="H27" s="28" t="str"/>
    </x:row>
  </x:sheetData>
  <x:mergeCells>
    <x:mergeCell ref="A1:H1"/>
    <x:mergeCell ref="A2:H2"/>
    <x:mergeCell ref="A4:H4"/>
    <x:mergeCell ref="A13:H13"/>
    <x:mergeCell ref="A22:H22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5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34" hidden="0" customWidth="1"/>
    <x:col min="11" max="11" width="18" hidden="0" customWidth="1"/>
  </x:cols>
  <x:sheetData>
    <x:row r="1" ht="40" customHeight="1">
      <x:c r="A1" s="3" t="str">
        <x:v>DIRTYWORKS.AI / CLIENT PRODUCT ESTIMATE</x:v>
      </x:c>
      <x:c r="B1" s="3" t="str">
        <x:v>DIRTYWORKS.AI / CLIENT PRODUCT ESTIMATE</x:v>
      </x:c>
      <x:c r="C1" s="3" t="str">
        <x:v>DIRTYWORKS.AI / CLIENT PRODUCT ESTIMATE</x:v>
      </x:c>
      <x:c r="D1" s="3" t="str">
        <x:v>DIRTYWORKS.AI / CLIENT PRODUCT ESTIMATE</x:v>
      </x:c>
      <x:c r="E1" s="3" t="str">
        <x:v>DIRTYWORKS.AI / CLIENT PRODUCT ESTIMATE</x:v>
      </x:c>
      <x:c r="F1" s="3" t="str">
        <x:v>DIRTYWORKS.AI / CLIENT PRODUCT ESTIMATE</x:v>
      </x:c>
      <x:c r="G1" s="3" t="str">
        <x:v>DIRTYWORKS.AI / CLIENT PRODUCT ESTIMATE</x:v>
      </x:c>
      <x:c r="H1" s="3" t="str">
        <x:v>DIRTYWORKS.AI / CLIENT PRODUCT ESTIMATE</x:v>
      </x:c>
      <x:c r="I1" s="3" t="str">
        <x:v>DIRTYWORKS.AI / CLIENT PRODUCT ESTIMATE</x:v>
      </x:c>
      <x:c r="J1" s="3" t="str">
        <x:v>DIRTYWORKS.AI / CLIENT PRODUCT ESTIMATE</x:v>
      </x:c>
      <x:c r="K1" s="3" t="str">
        <x:v>DIRTYWORKS.AI / CLIENT PRODUCT ESTIMATE</x:v>
      </x:c>
    </x:row>
    <x:row r="2" ht="34" customHeight="1">
      <x:c r="A2" s="7" t="str">
        <x:v>Vendor charges are estimates unless Dirtyworks.ai is an authorized seller of record. Customer-owned tenant and billing are the default.</x:v>
      </x:c>
      <x:c r="B2" s="7" t="str">
        <x:v>Vendor charges are estimates unless Dirtyworks.ai is an authorized seller of record. Customer-owned tenant and billing are the default.</x:v>
      </x:c>
      <x:c r="C2" s="7" t="str">
        <x:v>Vendor charges are estimates unless Dirtyworks.ai is an authorized seller of record. Customer-owned tenant and billing are the default.</x:v>
      </x:c>
      <x:c r="D2" s="7" t="str">
        <x:v>Vendor charges are estimates unless Dirtyworks.ai is an authorized seller of record. Customer-owned tenant and billing are the default.</x:v>
      </x:c>
      <x:c r="E2" s="7" t="str">
        <x:v>Vendor charges are estimates unless Dirtyworks.ai is an authorized seller of record. Customer-owned tenant and billing are the default.</x:v>
      </x:c>
      <x:c r="F2" s="7" t="str">
        <x:v>Vendor charges are estimates unless Dirtyworks.ai is an authorized seller of record. Customer-owned tenant and billing are the default.</x:v>
      </x:c>
      <x:c r="G2" s="7" t="str">
        <x:v>Vendor charges are estimates unless Dirtyworks.ai is an authorized seller of record. Customer-owned tenant and billing are the default.</x:v>
      </x:c>
      <x:c r="H2" s="7" t="str">
        <x:v>Vendor charges are estimates unless Dirtyworks.ai is an authorized seller of record. Customer-owned tenant and billing are the default.</x:v>
      </x:c>
      <x:c r="I2" s="7" t="str">
        <x:v>Vendor charges are estimates unless Dirtyworks.ai is an authorized seller of record. Customer-owned tenant and billing are the default.</x:v>
      </x:c>
      <x:c r="J2" s="7" t="str">
        <x:v>Vendor charges are estimates unless Dirtyworks.ai is an authorized seller of record. Customer-owned tenant and billing are the default.</x:v>
      </x:c>
      <x:c r="K2" s="7" t="str">
        <x:v>Vendor charges are estimates unless Dirtyworks.ai is an authorized seller of record. Customer-owned tenant and billing are the default.</x:v>
      </x:c>
    </x:row>
    <x:row r="4" ht="24" customHeight="1">
      <x:c r="A4" s="10" t="str">
        <x:v>CLIENT AND QUOTE INPUTS</x:v>
      </x:c>
      <x:c r="B4" s="10" t="str">
        <x:v>CLIENT AND QUOTE INPUTS</x:v>
      </x:c>
      <x:c r="C4" s="10" t="str">
        <x:v>CLIENT AND QUOTE INPUTS</x:v>
      </x:c>
      <x:c r="D4" s="10" t="str">
        <x:v>ESTIMATE SUMMARY / CAD BEFORE TAX</x:v>
      </x:c>
      <x:c r="E4" s="10" t="str">
        <x:v>ESTIMATE SUMMARY / CAD BEFORE TAX</x:v>
      </x:c>
      <x:c r="F4" s="10" t="str">
        <x:v>ESTIMATE SUMMARY / CAD BEFORE TAX</x:v>
      </x:c>
      <x:c r="G4" s="10" t="str">
        <x:v>ESTIMATE SUMMARY / CAD BEFORE TAX</x:v>
      </x:c>
      <x:c r="H4" s="10" t="str">
        <x:v>ESTIMATE SUMMARY / CAD BEFORE TAX</x:v>
      </x:c>
      <x:c r="I4" s="10" t="str">
        <x:v>ESTIMATE SUMMARY / CAD BEFORE TAX</x:v>
      </x:c>
      <x:c r="J4" s="10" t="str">
        <x:v>ESTIMATE SUMMARY / CAD BEFORE TAX</x:v>
      </x:c>
      <x:c r="K4" s="10" t="str">
        <x:v>ESTIMATE SUMMARY / CAD BEFORE TAX</x:v>
      </x:c>
    </x:row>
    <x:row r="6" ht="34" customHeight="1">
      <x:c r="A6" s="59" t="str">
        <x:v>Client name</x:v>
      </x:c>
      <x:c r="B6" s="60" t="str">
        <x:v>Example Client Ltd.</x:v>
      </x:c>
      <x:c r="D6" s="59" t="str">
        <x:v>Selected products</x:v>
      </x:c>
      <x:c r="E6" s="68" t="n">
        <x:f>COUNTIF(Configuration!$B$5:$B$30,"&lt;&gt;")</x:f>
        <x:v>3</x:v>
      </x:c>
      <x:c r="G6" s="42" t="str">
        <x:v>VENDOR COST
Estimated third-party charges; payment route is shown by line.</x:v>
      </x:c>
      <x:c r="H6" s="42"/>
      <x:c r="I6" s="42"/>
      <x:c r="J6" s="42"/>
      <x:c r="K6" s="42"/>
    </x:row>
    <x:row r="7" ht="34" customHeight="1">
      <x:c r="A7" s="59" t="str">
        <x:v>Prepared for</x:v>
      </x:c>
      <x:c r="B7" s="60" t="str">
        <x:v>Project Sponsor</x:v>
      </x:c>
      <x:c r="D7" s="59" t="str">
        <x:v>Estimated vendor monthly charges</x:v>
      </x:c>
      <x:c r="E7" s="69" t="n">
        <x:f>SUM(Configuration!$K$5:$K$30)</x:f>
        <x:v>1075.71</x:v>
      </x:c>
      <x:c r="G7" s="42" t="str">
        <x:v>ONE-TIME WORK
Deployment, onboarding, and scoped services.</x:v>
      </x:c>
      <x:c r="H7" s="42"/>
      <x:c r="I7" s="42"/>
      <x:c r="J7" s="42"/>
      <x:c r="K7" s="42"/>
    </x:row>
    <x:row r="8" ht="34" customHeight="1">
      <x:c r="A8" s="59" t="str">
        <x:v>Sales context</x:v>
      </x:c>
      <x:c r="B8" s="60" t="str">
        <x:v>Direct</x:v>
      </x:c>
      <x:c r="D8" s="59" t="str">
        <x:v>Dirtyworks.ai one-time work</x:v>
      </x:c>
      <x:c r="E8" s="69" t="n">
        <x:f>SUM(Configuration!$P$5:$P$30)</x:f>
        <x:v>5975</x:v>
      </x:c>
      <x:c r="G8" s="42" t="str">
        <x:v>MONTHLY MANAGEMENT
Operating responsibility after deployment.</x:v>
      </x:c>
      <x:c r="H8" s="42"/>
      <x:c r="I8" s="42"/>
      <x:c r="J8" s="42"/>
      <x:c r="K8" s="42"/>
    </x:row>
    <x:row r="9" ht="34" customHeight="1">
      <x:c r="A9" s="59" t="str">
        <x:v>Quote date</x:v>
      </x:c>
      <x:c r="B9" s="61" t="n">
        <x:v>46259.5</x:v>
      </x:c>
      <x:c r="D9" s="59" t="str">
        <x:v>Dirtyworks.ai monthly management</x:v>
      </x:c>
      <x:c r="E9" s="69" t="n">
        <x:f>SUM(Configuration!$Q$5:$Q$30)</x:f>
        <x:v>1716</x:v>
      </x:c>
      <x:c r="G9" s="42" t="str">
        <x:v>FIRST MONTH
Vendor estimate + one-time + monthly management.</x:v>
      </x:c>
      <x:c r="H9" s="42"/>
      <x:c r="I9" s="42"/>
      <x:c r="J9" s="42"/>
      <x:c r="K9" s="42"/>
    </x:row>
    <x:row r="10" ht="34" customHeight="1">
      <x:c r="A10" s="59" t="str">
        <x:v>Estimate validity (days)</x:v>
      </x:c>
      <x:c r="B10" s="62" t="n">
        <x:v>14</x:v>
      </x:c>
      <x:c r="D10" s="59" t="str">
        <x:v>Estimated first month</x:v>
      </x:c>
      <x:c r="E10" s="69" t="n">
        <x:f>SUM(Configuration!$R$5:$R$30)</x:f>
        <x:v>8766.71</x:v>
      </x:c>
      <x:c r="G10" s="42" t="str">
        <x:v>ANNUAL RECURRING
12 × (vendor estimate + monthly management); excludes one-time work.</x:v>
      </x:c>
      <x:c r="H10" s="42"/>
      <x:c r="I10" s="42"/>
      <x:c r="J10" s="42"/>
      <x:c r="K10" s="42"/>
    </x:row>
    <x:row r="11" ht="34" customHeight="1">
      <x:c r="A11" s="59" t="str">
        <x:v>USD → CAD working rate</x:v>
      </x:c>
      <x:c r="B11" s="63" t="n">
        <x:v>1.38</x:v>
      </x:c>
      <x:c r="D11" s="59" t="str">
        <x:v>Estimated annual recurring</x:v>
      </x:c>
      <x:c r="E11" s="69" t="n">
        <x:f>SUM(Configuration!$S$5:$S$30)</x:f>
        <x:v>33500.520000000004</x:v>
      </x:c>
      <x:c r="G11" s="42" t="str">
        <x:v>VERIFY
Any flagged line needs current commercial and technical review before order.</x:v>
      </x:c>
      <x:c r="H11" s="42"/>
      <x:c r="I11" s="42"/>
      <x:c r="J11" s="42"/>
      <x:c r="K11" s="42"/>
    </x:row>
    <x:row r="14" ht="24" customHeight="1">
      <x:c r="A14" s="10" t="str">
        <x:v>SELECTED PORTFOLIO</x:v>
      </x:c>
      <x:c r="B14" s="10" t="str">
        <x:v>SELECTED PORTFOLIO</x:v>
      </x:c>
      <x:c r="C14" s="10" t="str">
        <x:v>SELECTED PORTFOLIO</x:v>
      </x:c>
      <x:c r="D14" s="10" t="str">
        <x:v>SELECTED PORTFOLIO</x:v>
      </x:c>
      <x:c r="E14" s="10" t="str">
        <x:v>SELECTED PORTFOLIO</x:v>
      </x:c>
      <x:c r="F14" s="10" t="str">
        <x:v>SELECTED PORTFOLIO</x:v>
      </x:c>
      <x:c r="G14" s="10" t="str">
        <x:v>SELECTED PORTFOLIO</x:v>
      </x:c>
      <x:c r="H14" s="10" t="str">
        <x:v>SELECTED PORTFOLIO</x:v>
      </x:c>
      <x:c r="I14" s="10" t="str">
        <x:v>SELECTED PORTFOLIO</x:v>
      </x:c>
      <x:c r="J14" s="10" t="str">
        <x:v>SELECTED PORTFOLIO</x:v>
      </x:c>
      <x:c r="K14" s="10" t="str">
        <x:v>SELECTED PORTFOLIO</x:v>
      </x:c>
    </x:row>
    <x:row r="16" ht="34" customHeight="1">
      <x:c r="A16" s="26" t="str">
        <x:v>#</x:v>
      </x:c>
      <x:c r="B16" s="26" t="str">
        <x:v>Product</x:v>
      </x:c>
      <x:c r="C16" s="26" t="str">
        <x:v>Plan</x:v>
      </x:c>
      <x:c r="D16" s="26" t="str">
        <x:v>Qty / budget</x:v>
      </x:c>
      <x:c r="E16" s="26" t="str">
        <x:v>Managed users</x:v>
      </x:c>
      <x:c r="F16" s="26" t="str">
        <x:v>Vendor monthly</x:v>
      </x:c>
      <x:c r="G16" s="26" t="str">
        <x:v>DW one-time</x:v>
      </x:c>
      <x:c r="H16" s="26" t="str">
        <x:v>DW monthly</x:v>
      </x:c>
      <x:c r="I16" s="26" t="str">
        <x:v>First month</x:v>
      </x:c>
      <x:c r="J16" s="26" t="str">
        <x:v>Purchase path</x:v>
      </x:c>
      <x:c r="K16" s="26" t="str">
        <x:v>Status</x:v>
      </x:c>
    </x:row>
    <x:row r="17" ht="31" customHeight="1">
      <x:c r="A17" s="32" t="n">
        <x:f>IF(Configuration!$B5="","",Configuration!$A5)</x:f>
        <x:v>1</x:v>
      </x:c>
      <x:c r="B17" s="32" t="str">
        <x:f>IF(Configuration!$B5="","",Configuration!$C5)</x:f>
        <x:v>ChatGPT Business</x:v>
      </x:c>
      <x:c r="C17" s="32" t="str">
        <x:f>IF(Configuration!$B5="","",Configuration!$D5)</x:f>
        <x:v>Standard</x:v>
      </x:c>
      <x:c r="D17" s="32" t="n">
        <x:f>IF(Configuration!$B5="","",Configuration!$E5)</x:f>
        <x:v>3</x:v>
      </x:c>
      <x:c r="E17" s="32" t="n">
        <x:f>IF(Configuration!$B5="","",Configuration!$F5)</x:f>
        <x:v>3</x:v>
      </x:c>
      <x:c r="F17" s="73" t="n">
        <x:f>IF(Configuration!$B5="","",Configuration!$K5)</x:f>
        <x:v>82.8</x:v>
      </x:c>
      <x:c r="G17" s="73" t="n">
        <x:f>IF(Configuration!$B5="","",Configuration!$P5)</x:f>
        <x:v>1650</x:v>
      </x:c>
      <x:c r="H17" s="73" t="n">
        <x:f>IF(Configuration!$B5="","",Configuration!$Q5)</x:f>
        <x:v>486</x:v>
      </x:c>
      <x:c r="I17" s="73" t="n">
        <x:f>IF(Configuration!$B5="","",Configuration!$R5)</x:f>
        <x:v>2218.8</x:v>
      </x:c>
      <x:c r="J17" s="32" t="str">
        <x:f>IF(Configuration!$B5="","",Configuration!$L5)</x:f>
        <x:v>CUST-DIRECT</x:v>
      </x:c>
      <x:c r="K17" s="32" t="str">
        <x:f>IF(Configuration!$B5="","",Configuration!$T5)</x:f>
        <x:v>VERIFY</x:v>
      </x:c>
    </x:row>
    <x:row r="18" ht="31" customHeight="1">
      <x:c r="A18" s="32" t="n">
        <x:f>IF(Configuration!$B6="","",Configuration!$A6)</x:f>
        <x:v>2</x:v>
      </x:c>
      <x:c r="B18" s="32" t="str">
        <x:f>IF(Configuration!$B6="","",Configuration!$C6)</x:f>
        <x:v>Midjourney</x:v>
      </x:c>
      <x:c r="C18" s="32" t="str">
        <x:f>IF(Configuration!$B6="","",Configuration!$D6)</x:f>
        <x:v>Pro</x:v>
      </x:c>
      <x:c r="D18" s="32" t="n">
        <x:f>IF(Configuration!$B6="","",Configuration!$E6)</x:f>
        <x:v>4</x:v>
      </x:c>
      <x:c r="E18" s="32" t="n">
        <x:f>IF(Configuration!$B6="","",Configuration!$F6)</x:f>
        <x:v>4</x:v>
      </x:c>
      <x:c r="F18" s="73" t="n">
        <x:f>IF(Configuration!$B6="","",Configuration!$K6)</x:f>
        <x:v>264.96</x:v>
      </x:c>
      <x:c r="G18" s="73" t="n">
        <x:f>IF(Configuration!$B6="","",Configuration!$P6)</x:f>
        <x:v>600</x:v>
      </x:c>
      <x:c r="H18" s="73" t="n">
        <x:f>IF(Configuration!$B6="","",Configuration!$Q6)</x:f>
        <x:v>170</x:v>
      </x:c>
      <x:c r="I18" s="73" t="n">
        <x:f>IF(Configuration!$B6="","",Configuration!$R6)</x:f>
        <x:v>1034.96</x:v>
      </x:c>
      <x:c r="J18" s="32" t="str">
        <x:f>IF(Configuration!$B6="","",Configuration!$L6)</x:f>
        <x:v>CUST-DIRECT</x:v>
      </x:c>
      <x:c r="K18" s="32" t="str">
        <x:f>IF(Configuration!$B6="","",Configuration!$T6)</x:f>
        <x:v>VERIFY</x:v>
      </x:c>
    </x:row>
    <x:row r="19" ht="31" customHeight="1">
      <x:c r="A19" s="32" t="n">
        <x:f>IF(Configuration!$B7="","",Configuration!$A7)</x:f>
        <x:v>3</x:v>
      </x:c>
      <x:c r="B19" s="32" t="str">
        <x:f>IF(Configuration!$B7="","",Configuration!$C7)</x:f>
        <x:v>OpenRouter</x:v>
      </x:c>
      <x:c r="C19" s="32" t="str">
        <x:f>IF(Configuration!$B7="","",Configuration!$D7)</x:f>
        <x:v>Pay-as-you-go</x:v>
      </x:c>
      <x:c r="D19" s="32" t="n">
        <x:f>IF(Configuration!$B7="","",Configuration!$E7)</x:f>
        <x:v>500</x:v>
      </x:c>
      <x:c r="E19" s="32" t="n">
        <x:f>IF(Configuration!$B7="","",Configuration!$F7)</x:f>
        <x:v>3</x:v>
      </x:c>
      <x:c r="F19" s="73" t="n">
        <x:f>IF(Configuration!$B7="","",Configuration!$K7)</x:f>
        <x:v>727.95</x:v>
      </x:c>
      <x:c r="G19" s="73" t="n">
        <x:f>IF(Configuration!$B7="","",Configuration!$P7)</x:f>
        <x:v>3725</x:v>
      </x:c>
      <x:c r="H19" s="73" t="n">
        <x:f>IF(Configuration!$B7="","",Configuration!$Q7)</x:f>
        <x:v>1060</x:v>
      </x:c>
      <x:c r="I19" s="73" t="n">
        <x:f>IF(Configuration!$B7="","",Configuration!$R7)</x:f>
        <x:v>5512.95</x:v>
      </x:c>
      <x:c r="J19" s="32" t="str">
        <x:f>IF(Configuration!$B7="","",Configuration!$L7)</x:f>
        <x:v>CUST-DIRECT</x:v>
      </x:c>
      <x:c r="K19" s="32" t="str">
        <x:f>IF(Configuration!$B7="","",Configuration!$T7)</x:f>
        <x:v>VERIFY</x:v>
      </x:c>
    </x:row>
    <x:row r="20" ht="31" customHeight="1">
      <x:c r="A20" s="32" t="str">
        <x:f>IF(Configuration!$B8="","",Configuration!$A8)</x:f>
      </x:c>
      <x:c r="B20" s="32" t="str">
        <x:f>IF(Configuration!$B8="","",Configuration!$C8)</x:f>
      </x:c>
      <x:c r="C20" s="32" t="str">
        <x:f>IF(Configuration!$B8="","",Configuration!$D8)</x:f>
      </x:c>
      <x:c r="D20" s="32" t="str">
        <x:f>IF(Configuration!$B8="","",Configuration!$E8)</x:f>
      </x:c>
      <x:c r="E20" s="32" t="str">
        <x:f>IF(Configuration!$B8="","",Configuration!$F8)</x:f>
      </x:c>
      <x:c r="F20" s="73" t="str">
        <x:f>IF(Configuration!$B8="","",Configuration!$K8)</x:f>
      </x:c>
      <x:c r="G20" s="73" t="str">
        <x:f>IF(Configuration!$B8="","",Configuration!$P8)</x:f>
      </x:c>
      <x:c r="H20" s="73" t="str">
        <x:f>IF(Configuration!$B8="","",Configuration!$Q8)</x:f>
      </x:c>
      <x:c r="I20" s="73" t="str">
        <x:f>IF(Configuration!$B8="","",Configuration!$R8)</x:f>
      </x:c>
      <x:c r="J20" s="32" t="str">
        <x:f>IF(Configuration!$B8="","",Configuration!$L8)</x:f>
      </x:c>
      <x:c r="K20" s="32" t="str">
        <x:f>IF(Configuration!$B8="","",Configuration!$T8)</x:f>
      </x:c>
    </x:row>
    <x:row r="21" ht="31" customHeight="1">
      <x:c r="A21" s="32" t="str">
        <x:f>IF(Configuration!$B9="","",Configuration!$A9)</x:f>
      </x:c>
      <x:c r="B21" s="32" t="str">
        <x:f>IF(Configuration!$B9="","",Configuration!$C9)</x:f>
      </x:c>
      <x:c r="C21" s="32" t="str">
        <x:f>IF(Configuration!$B9="","",Configuration!$D9)</x:f>
      </x:c>
      <x:c r="D21" s="32" t="str">
        <x:f>IF(Configuration!$B9="","",Configuration!$E9)</x:f>
      </x:c>
      <x:c r="E21" s="32" t="str">
        <x:f>IF(Configuration!$B9="","",Configuration!$F9)</x:f>
      </x:c>
      <x:c r="F21" s="73" t="str">
        <x:f>IF(Configuration!$B9="","",Configuration!$K9)</x:f>
      </x:c>
      <x:c r="G21" s="73" t="str">
        <x:f>IF(Configuration!$B9="","",Configuration!$P9)</x:f>
      </x:c>
      <x:c r="H21" s="73" t="str">
        <x:f>IF(Configuration!$B9="","",Configuration!$Q9)</x:f>
      </x:c>
      <x:c r="I21" s="73" t="str">
        <x:f>IF(Configuration!$B9="","",Configuration!$R9)</x:f>
      </x:c>
      <x:c r="J21" s="32" t="str">
        <x:f>IF(Configuration!$B9="","",Configuration!$L9)</x:f>
      </x:c>
      <x:c r="K21" s="32" t="str">
        <x:f>IF(Configuration!$B9="","",Configuration!$T9)</x:f>
      </x:c>
    </x:row>
    <x:row r="22" ht="31" customHeight="1">
      <x:c r="A22" s="32" t="str">
        <x:f>IF(Configuration!$B10="","",Configuration!$A10)</x:f>
      </x:c>
      <x:c r="B22" s="32" t="str">
        <x:f>IF(Configuration!$B10="","",Configuration!$C10)</x:f>
      </x:c>
      <x:c r="C22" s="32" t="str">
        <x:f>IF(Configuration!$B10="","",Configuration!$D10)</x:f>
      </x:c>
      <x:c r="D22" s="32" t="str">
        <x:f>IF(Configuration!$B10="","",Configuration!$E10)</x:f>
      </x:c>
      <x:c r="E22" s="32" t="str">
        <x:f>IF(Configuration!$B10="","",Configuration!$F10)</x:f>
      </x:c>
      <x:c r="F22" s="73" t="str">
        <x:f>IF(Configuration!$B10="","",Configuration!$K10)</x:f>
      </x:c>
      <x:c r="G22" s="73" t="str">
        <x:f>IF(Configuration!$B10="","",Configuration!$P10)</x:f>
      </x:c>
      <x:c r="H22" s="73" t="str">
        <x:f>IF(Configuration!$B10="","",Configuration!$Q10)</x:f>
      </x:c>
      <x:c r="I22" s="73" t="str">
        <x:f>IF(Configuration!$B10="","",Configuration!$R10)</x:f>
      </x:c>
      <x:c r="J22" s="32" t="str">
        <x:f>IF(Configuration!$B10="","",Configuration!$L10)</x:f>
      </x:c>
      <x:c r="K22" s="32" t="str">
        <x:f>IF(Configuration!$B10="","",Configuration!$T10)</x:f>
      </x:c>
    </x:row>
    <x:row r="23" ht="31" customHeight="1">
      <x:c r="A23" s="32" t="str">
        <x:f>IF(Configuration!$B11="","",Configuration!$A11)</x:f>
      </x:c>
      <x:c r="B23" s="32" t="str">
        <x:f>IF(Configuration!$B11="","",Configuration!$C11)</x:f>
      </x:c>
      <x:c r="C23" s="32" t="str">
        <x:f>IF(Configuration!$B11="","",Configuration!$D11)</x:f>
      </x:c>
      <x:c r="D23" s="32" t="str">
        <x:f>IF(Configuration!$B11="","",Configuration!$E11)</x:f>
      </x:c>
      <x:c r="E23" s="32" t="str">
        <x:f>IF(Configuration!$B11="","",Configuration!$F11)</x:f>
      </x:c>
      <x:c r="F23" s="73" t="str">
        <x:f>IF(Configuration!$B11="","",Configuration!$K11)</x:f>
      </x:c>
      <x:c r="G23" s="73" t="str">
        <x:f>IF(Configuration!$B11="","",Configuration!$P11)</x:f>
      </x:c>
      <x:c r="H23" s="73" t="str">
        <x:f>IF(Configuration!$B11="","",Configuration!$Q11)</x:f>
      </x:c>
      <x:c r="I23" s="73" t="str">
        <x:f>IF(Configuration!$B11="","",Configuration!$R11)</x:f>
      </x:c>
      <x:c r="J23" s="32" t="str">
        <x:f>IF(Configuration!$B11="","",Configuration!$L11)</x:f>
      </x:c>
      <x:c r="K23" s="32" t="str">
        <x:f>IF(Configuration!$B11="","",Configuration!$T11)</x:f>
      </x:c>
    </x:row>
    <x:row r="24" ht="31" customHeight="1">
      <x:c r="A24" s="32" t="str">
        <x:f>IF(Configuration!$B12="","",Configuration!$A12)</x:f>
      </x:c>
      <x:c r="B24" s="32" t="str">
        <x:f>IF(Configuration!$B12="","",Configuration!$C12)</x:f>
      </x:c>
      <x:c r="C24" s="32" t="str">
        <x:f>IF(Configuration!$B12="","",Configuration!$D12)</x:f>
      </x:c>
      <x:c r="D24" s="32" t="str">
        <x:f>IF(Configuration!$B12="","",Configuration!$E12)</x:f>
      </x:c>
      <x:c r="E24" s="32" t="str">
        <x:f>IF(Configuration!$B12="","",Configuration!$F12)</x:f>
      </x:c>
      <x:c r="F24" s="73" t="str">
        <x:f>IF(Configuration!$B12="","",Configuration!$K12)</x:f>
      </x:c>
      <x:c r="G24" s="73" t="str">
        <x:f>IF(Configuration!$B12="","",Configuration!$P12)</x:f>
      </x:c>
      <x:c r="H24" s="73" t="str">
        <x:f>IF(Configuration!$B12="","",Configuration!$Q12)</x:f>
      </x:c>
      <x:c r="I24" s="73" t="str">
        <x:f>IF(Configuration!$B12="","",Configuration!$R12)</x:f>
      </x:c>
      <x:c r="J24" s="32" t="str">
        <x:f>IF(Configuration!$B12="","",Configuration!$L12)</x:f>
      </x:c>
      <x:c r="K24" s="32" t="str">
        <x:f>IF(Configuration!$B12="","",Configuration!$T12)</x:f>
      </x:c>
    </x:row>
    <x:row r="25" ht="31" customHeight="1">
      <x:c r="A25" s="32" t="str">
        <x:f>IF(Configuration!$B13="","",Configuration!$A13)</x:f>
      </x:c>
      <x:c r="B25" s="32" t="str">
        <x:f>IF(Configuration!$B13="","",Configuration!$C13)</x:f>
      </x:c>
      <x:c r="C25" s="32" t="str">
        <x:f>IF(Configuration!$B13="","",Configuration!$D13)</x:f>
      </x:c>
      <x:c r="D25" s="32" t="str">
        <x:f>IF(Configuration!$B13="","",Configuration!$E13)</x:f>
      </x:c>
      <x:c r="E25" s="32" t="str">
        <x:f>IF(Configuration!$B13="","",Configuration!$F13)</x:f>
      </x:c>
      <x:c r="F25" s="73" t="str">
        <x:f>IF(Configuration!$B13="","",Configuration!$K13)</x:f>
      </x:c>
      <x:c r="G25" s="73" t="str">
        <x:f>IF(Configuration!$B13="","",Configuration!$P13)</x:f>
      </x:c>
      <x:c r="H25" s="73" t="str">
        <x:f>IF(Configuration!$B13="","",Configuration!$Q13)</x:f>
      </x:c>
      <x:c r="I25" s="73" t="str">
        <x:f>IF(Configuration!$B13="","",Configuration!$R13)</x:f>
      </x:c>
      <x:c r="J25" s="32" t="str">
        <x:f>IF(Configuration!$B13="","",Configuration!$L13)</x:f>
      </x:c>
      <x:c r="K25" s="32" t="str">
        <x:f>IF(Configuration!$B13="","",Configuration!$T13)</x:f>
      </x:c>
    </x:row>
    <x:row r="26" ht="31" customHeight="1">
      <x:c r="A26" s="32" t="str">
        <x:f>IF(Configuration!$B14="","",Configuration!$A14)</x:f>
      </x:c>
      <x:c r="B26" s="32" t="str">
        <x:f>IF(Configuration!$B14="","",Configuration!$C14)</x:f>
      </x:c>
      <x:c r="C26" s="32" t="str">
        <x:f>IF(Configuration!$B14="","",Configuration!$D14)</x:f>
      </x:c>
      <x:c r="D26" s="32" t="str">
        <x:f>IF(Configuration!$B14="","",Configuration!$E14)</x:f>
      </x:c>
      <x:c r="E26" s="32" t="str">
        <x:f>IF(Configuration!$B14="","",Configuration!$F14)</x:f>
      </x:c>
      <x:c r="F26" s="73" t="str">
        <x:f>IF(Configuration!$B14="","",Configuration!$K14)</x:f>
      </x:c>
      <x:c r="G26" s="73" t="str">
        <x:f>IF(Configuration!$B14="","",Configuration!$P14)</x:f>
      </x:c>
      <x:c r="H26" s="73" t="str">
        <x:f>IF(Configuration!$B14="","",Configuration!$Q14)</x:f>
      </x:c>
      <x:c r="I26" s="73" t="str">
        <x:f>IF(Configuration!$B14="","",Configuration!$R14)</x:f>
      </x:c>
      <x:c r="J26" s="32" t="str">
        <x:f>IF(Configuration!$B14="","",Configuration!$L14)</x:f>
      </x:c>
      <x:c r="K26" s="32" t="str">
        <x:f>IF(Configuration!$B14="","",Configuration!$T14)</x:f>
      </x:c>
    </x:row>
    <x:row r="27" ht="31" customHeight="1">
      <x:c r="A27" s="32" t="str">
        <x:f>IF(Configuration!$B15="","",Configuration!$A15)</x:f>
      </x:c>
      <x:c r="B27" s="32" t="str">
        <x:f>IF(Configuration!$B15="","",Configuration!$C15)</x:f>
      </x:c>
      <x:c r="C27" s="32" t="str">
        <x:f>IF(Configuration!$B15="","",Configuration!$D15)</x:f>
      </x:c>
      <x:c r="D27" s="32" t="str">
        <x:f>IF(Configuration!$B15="","",Configuration!$E15)</x:f>
      </x:c>
      <x:c r="E27" s="32" t="str">
        <x:f>IF(Configuration!$B15="","",Configuration!$F15)</x:f>
      </x:c>
      <x:c r="F27" s="73" t="str">
        <x:f>IF(Configuration!$B15="","",Configuration!$K15)</x:f>
      </x:c>
      <x:c r="G27" s="73" t="str">
        <x:f>IF(Configuration!$B15="","",Configuration!$P15)</x:f>
      </x:c>
      <x:c r="H27" s="73" t="str">
        <x:f>IF(Configuration!$B15="","",Configuration!$Q15)</x:f>
      </x:c>
      <x:c r="I27" s="73" t="str">
        <x:f>IF(Configuration!$B15="","",Configuration!$R15)</x:f>
      </x:c>
      <x:c r="J27" s="32" t="str">
        <x:f>IF(Configuration!$B15="","",Configuration!$L15)</x:f>
      </x:c>
      <x:c r="K27" s="32" t="str">
        <x:f>IF(Configuration!$B15="","",Configuration!$T15)</x:f>
      </x:c>
    </x:row>
    <x:row r="28" ht="31" customHeight="1">
      <x:c r="A28" s="32" t="str">
        <x:f>IF(Configuration!$B16="","",Configuration!$A16)</x:f>
      </x:c>
      <x:c r="B28" s="32" t="str">
        <x:f>IF(Configuration!$B16="","",Configuration!$C16)</x:f>
      </x:c>
      <x:c r="C28" s="32" t="str">
        <x:f>IF(Configuration!$B16="","",Configuration!$D16)</x:f>
      </x:c>
      <x:c r="D28" s="32" t="str">
        <x:f>IF(Configuration!$B16="","",Configuration!$E16)</x:f>
      </x:c>
      <x:c r="E28" s="32" t="str">
        <x:f>IF(Configuration!$B16="","",Configuration!$F16)</x:f>
      </x:c>
      <x:c r="F28" s="73" t="str">
        <x:f>IF(Configuration!$B16="","",Configuration!$K16)</x:f>
      </x:c>
      <x:c r="G28" s="73" t="str">
        <x:f>IF(Configuration!$B16="","",Configuration!$P16)</x:f>
      </x:c>
      <x:c r="H28" s="73" t="str">
        <x:f>IF(Configuration!$B16="","",Configuration!$Q16)</x:f>
      </x:c>
      <x:c r="I28" s="73" t="str">
        <x:f>IF(Configuration!$B16="","",Configuration!$R16)</x:f>
      </x:c>
      <x:c r="J28" s="32" t="str">
        <x:f>IF(Configuration!$B16="","",Configuration!$L16)</x:f>
      </x:c>
      <x:c r="K28" s="32" t="str">
        <x:f>IF(Configuration!$B16="","",Configuration!$T16)</x:f>
      </x:c>
    </x:row>
    <x:row r="29" ht="31" customHeight="1">
      <x:c r="A29" s="32" t="str">
        <x:f>IF(Configuration!$B17="","",Configuration!$A17)</x:f>
      </x:c>
      <x:c r="B29" s="32" t="str">
        <x:f>IF(Configuration!$B17="","",Configuration!$C17)</x:f>
      </x:c>
      <x:c r="C29" s="32" t="str">
        <x:f>IF(Configuration!$B17="","",Configuration!$D17)</x:f>
      </x:c>
      <x:c r="D29" s="32" t="str">
        <x:f>IF(Configuration!$B17="","",Configuration!$E17)</x:f>
      </x:c>
      <x:c r="E29" s="32" t="str">
        <x:f>IF(Configuration!$B17="","",Configuration!$F17)</x:f>
      </x:c>
      <x:c r="F29" s="73" t="str">
        <x:f>IF(Configuration!$B17="","",Configuration!$K17)</x:f>
      </x:c>
      <x:c r="G29" s="73" t="str">
        <x:f>IF(Configuration!$B17="","",Configuration!$P17)</x:f>
      </x:c>
      <x:c r="H29" s="73" t="str">
        <x:f>IF(Configuration!$B17="","",Configuration!$Q17)</x:f>
      </x:c>
      <x:c r="I29" s="73" t="str">
        <x:f>IF(Configuration!$B17="","",Configuration!$R17)</x:f>
      </x:c>
      <x:c r="J29" s="32" t="str">
        <x:f>IF(Configuration!$B17="","",Configuration!$L17)</x:f>
      </x:c>
      <x:c r="K29" s="32" t="str">
        <x:f>IF(Configuration!$B17="","",Configuration!$T17)</x:f>
      </x:c>
    </x:row>
    <x:row r="30" ht="31" customHeight="1">
      <x:c r="A30" s="32" t="str">
        <x:f>IF(Configuration!$B18="","",Configuration!$A18)</x:f>
      </x:c>
      <x:c r="B30" s="32" t="str">
        <x:f>IF(Configuration!$B18="","",Configuration!$C18)</x:f>
      </x:c>
      <x:c r="C30" s="32" t="str">
        <x:f>IF(Configuration!$B18="","",Configuration!$D18)</x:f>
      </x:c>
      <x:c r="D30" s="32" t="str">
        <x:f>IF(Configuration!$B18="","",Configuration!$E18)</x:f>
      </x:c>
      <x:c r="E30" s="32" t="str">
        <x:f>IF(Configuration!$B18="","",Configuration!$F18)</x:f>
      </x:c>
      <x:c r="F30" s="73" t="str">
        <x:f>IF(Configuration!$B18="","",Configuration!$K18)</x:f>
      </x:c>
      <x:c r="G30" s="73" t="str">
        <x:f>IF(Configuration!$B18="","",Configuration!$P18)</x:f>
      </x:c>
      <x:c r="H30" s="73" t="str">
        <x:f>IF(Configuration!$B18="","",Configuration!$Q18)</x:f>
      </x:c>
      <x:c r="I30" s="73" t="str">
        <x:f>IF(Configuration!$B18="","",Configuration!$R18)</x:f>
      </x:c>
      <x:c r="J30" s="32" t="str">
        <x:f>IF(Configuration!$B18="","",Configuration!$L18)</x:f>
      </x:c>
      <x:c r="K30" s="32" t="str">
        <x:f>IF(Configuration!$B18="","",Configuration!$T18)</x:f>
      </x:c>
    </x:row>
    <x:row r="31" ht="31" customHeight="1">
      <x:c r="A31" s="32" t="str">
        <x:f>IF(Configuration!$B19="","",Configuration!$A19)</x:f>
      </x:c>
      <x:c r="B31" s="32" t="str">
        <x:f>IF(Configuration!$B19="","",Configuration!$C19)</x:f>
      </x:c>
      <x:c r="C31" s="32" t="str">
        <x:f>IF(Configuration!$B19="","",Configuration!$D19)</x:f>
      </x:c>
      <x:c r="D31" s="32" t="str">
        <x:f>IF(Configuration!$B19="","",Configuration!$E19)</x:f>
      </x:c>
      <x:c r="E31" s="32" t="str">
        <x:f>IF(Configuration!$B19="","",Configuration!$F19)</x:f>
      </x:c>
      <x:c r="F31" s="73" t="str">
        <x:f>IF(Configuration!$B19="","",Configuration!$K19)</x:f>
      </x:c>
      <x:c r="G31" s="73" t="str">
        <x:f>IF(Configuration!$B19="","",Configuration!$P19)</x:f>
      </x:c>
      <x:c r="H31" s="73" t="str">
        <x:f>IF(Configuration!$B19="","",Configuration!$Q19)</x:f>
      </x:c>
      <x:c r="I31" s="73" t="str">
        <x:f>IF(Configuration!$B19="","",Configuration!$R19)</x:f>
      </x:c>
      <x:c r="J31" s="32" t="str">
        <x:f>IF(Configuration!$B19="","",Configuration!$L19)</x:f>
      </x:c>
      <x:c r="K31" s="32" t="str">
        <x:f>IF(Configuration!$B19="","",Configuration!$T19)</x:f>
      </x:c>
    </x:row>
    <x:row r="32" ht="31" customHeight="1">
      <x:c r="A32" s="32" t="str">
        <x:f>IF(Configuration!$B20="","",Configuration!$A20)</x:f>
      </x:c>
      <x:c r="B32" s="32" t="str">
        <x:f>IF(Configuration!$B20="","",Configuration!$C20)</x:f>
      </x:c>
      <x:c r="C32" s="32" t="str">
        <x:f>IF(Configuration!$B20="","",Configuration!$D20)</x:f>
      </x:c>
      <x:c r="D32" s="32" t="str">
        <x:f>IF(Configuration!$B20="","",Configuration!$E20)</x:f>
      </x:c>
      <x:c r="E32" s="32" t="str">
        <x:f>IF(Configuration!$B20="","",Configuration!$F20)</x:f>
      </x:c>
      <x:c r="F32" s="73" t="str">
        <x:f>IF(Configuration!$B20="","",Configuration!$K20)</x:f>
      </x:c>
      <x:c r="G32" s="73" t="str">
        <x:f>IF(Configuration!$B20="","",Configuration!$P20)</x:f>
      </x:c>
      <x:c r="H32" s="73" t="str">
        <x:f>IF(Configuration!$B20="","",Configuration!$Q20)</x:f>
      </x:c>
      <x:c r="I32" s="73" t="str">
        <x:f>IF(Configuration!$B20="","",Configuration!$R20)</x:f>
      </x:c>
      <x:c r="J32" s="32" t="str">
        <x:f>IF(Configuration!$B20="","",Configuration!$L20)</x:f>
      </x:c>
      <x:c r="K32" s="32" t="str">
        <x:f>IF(Configuration!$B20="","",Configuration!$T20)</x:f>
      </x:c>
    </x:row>
    <x:row r="33" ht="31" customHeight="1">
      <x:c r="A33" s="32" t="str">
        <x:f>IF(Configuration!$B21="","",Configuration!$A21)</x:f>
      </x:c>
      <x:c r="B33" s="32" t="str">
        <x:f>IF(Configuration!$B21="","",Configuration!$C21)</x:f>
      </x:c>
      <x:c r="C33" s="32" t="str">
        <x:f>IF(Configuration!$B21="","",Configuration!$D21)</x:f>
      </x:c>
      <x:c r="D33" s="32" t="str">
        <x:f>IF(Configuration!$B21="","",Configuration!$E21)</x:f>
      </x:c>
      <x:c r="E33" s="32" t="str">
        <x:f>IF(Configuration!$B21="","",Configuration!$F21)</x:f>
      </x:c>
      <x:c r="F33" s="73" t="str">
        <x:f>IF(Configuration!$B21="","",Configuration!$K21)</x:f>
      </x:c>
      <x:c r="G33" s="73" t="str">
        <x:f>IF(Configuration!$B21="","",Configuration!$P21)</x:f>
      </x:c>
      <x:c r="H33" s="73" t="str">
        <x:f>IF(Configuration!$B21="","",Configuration!$Q21)</x:f>
      </x:c>
      <x:c r="I33" s="73" t="str">
        <x:f>IF(Configuration!$B21="","",Configuration!$R21)</x:f>
      </x:c>
      <x:c r="J33" s="32" t="str">
        <x:f>IF(Configuration!$B21="","",Configuration!$L21)</x:f>
      </x:c>
      <x:c r="K33" s="32" t="str">
        <x:f>IF(Configuration!$B21="","",Configuration!$T21)</x:f>
      </x:c>
    </x:row>
    <x:row r="34" ht="31" customHeight="1">
      <x:c r="A34" s="32" t="str">
        <x:f>IF(Configuration!$B22="","",Configuration!$A22)</x:f>
      </x:c>
      <x:c r="B34" s="32" t="str">
        <x:f>IF(Configuration!$B22="","",Configuration!$C22)</x:f>
      </x:c>
      <x:c r="C34" s="32" t="str">
        <x:f>IF(Configuration!$B22="","",Configuration!$D22)</x:f>
      </x:c>
      <x:c r="D34" s="32" t="str">
        <x:f>IF(Configuration!$B22="","",Configuration!$E22)</x:f>
      </x:c>
      <x:c r="E34" s="32" t="str">
        <x:f>IF(Configuration!$B22="","",Configuration!$F22)</x:f>
      </x:c>
      <x:c r="F34" s="73" t="str">
        <x:f>IF(Configuration!$B22="","",Configuration!$K22)</x:f>
      </x:c>
      <x:c r="G34" s="73" t="str">
        <x:f>IF(Configuration!$B22="","",Configuration!$P22)</x:f>
      </x:c>
      <x:c r="H34" s="73" t="str">
        <x:f>IF(Configuration!$B22="","",Configuration!$Q22)</x:f>
      </x:c>
      <x:c r="I34" s="73" t="str">
        <x:f>IF(Configuration!$B22="","",Configuration!$R22)</x:f>
      </x:c>
      <x:c r="J34" s="32" t="str">
        <x:f>IF(Configuration!$B22="","",Configuration!$L22)</x:f>
      </x:c>
      <x:c r="K34" s="32" t="str">
        <x:f>IF(Configuration!$B22="","",Configuration!$T22)</x:f>
      </x:c>
    </x:row>
    <x:row r="35" ht="31" customHeight="1">
      <x:c r="A35" s="32" t="str">
        <x:f>IF(Configuration!$B23="","",Configuration!$A23)</x:f>
      </x:c>
      <x:c r="B35" s="32" t="str">
        <x:f>IF(Configuration!$B23="","",Configuration!$C23)</x:f>
      </x:c>
      <x:c r="C35" s="32" t="str">
        <x:f>IF(Configuration!$B23="","",Configuration!$D23)</x:f>
      </x:c>
      <x:c r="D35" s="32" t="str">
        <x:f>IF(Configuration!$B23="","",Configuration!$E23)</x:f>
      </x:c>
      <x:c r="E35" s="32" t="str">
        <x:f>IF(Configuration!$B23="","",Configuration!$F23)</x:f>
      </x:c>
      <x:c r="F35" s="73" t="str">
        <x:f>IF(Configuration!$B23="","",Configuration!$K23)</x:f>
      </x:c>
      <x:c r="G35" s="73" t="str">
        <x:f>IF(Configuration!$B23="","",Configuration!$P23)</x:f>
      </x:c>
      <x:c r="H35" s="73" t="str">
        <x:f>IF(Configuration!$B23="","",Configuration!$Q23)</x:f>
      </x:c>
      <x:c r="I35" s="73" t="str">
        <x:f>IF(Configuration!$B23="","",Configuration!$R23)</x:f>
      </x:c>
      <x:c r="J35" s="32" t="str">
        <x:f>IF(Configuration!$B23="","",Configuration!$L23)</x:f>
      </x:c>
      <x:c r="K35" s="32" t="str">
        <x:f>IF(Configuration!$B23="","",Configuration!$T23)</x:f>
      </x:c>
    </x:row>
    <x:row r="36" ht="31" customHeight="1">
      <x:c r="A36" s="32" t="str">
        <x:f>IF(Configuration!$B24="","",Configuration!$A24)</x:f>
      </x:c>
      <x:c r="B36" s="32" t="str">
        <x:f>IF(Configuration!$B24="","",Configuration!$C24)</x:f>
      </x:c>
      <x:c r="C36" s="32" t="str">
        <x:f>IF(Configuration!$B24="","",Configuration!$D24)</x:f>
      </x:c>
      <x:c r="D36" s="32" t="str">
        <x:f>IF(Configuration!$B24="","",Configuration!$E24)</x:f>
      </x:c>
      <x:c r="E36" s="32" t="str">
        <x:f>IF(Configuration!$B24="","",Configuration!$F24)</x:f>
      </x:c>
      <x:c r="F36" s="73" t="str">
        <x:f>IF(Configuration!$B24="","",Configuration!$K24)</x:f>
      </x:c>
      <x:c r="G36" s="73" t="str">
        <x:f>IF(Configuration!$B24="","",Configuration!$P24)</x:f>
      </x:c>
      <x:c r="H36" s="73" t="str">
        <x:f>IF(Configuration!$B24="","",Configuration!$Q24)</x:f>
      </x:c>
      <x:c r="I36" s="73" t="str">
        <x:f>IF(Configuration!$B24="","",Configuration!$R24)</x:f>
      </x:c>
      <x:c r="J36" s="32" t="str">
        <x:f>IF(Configuration!$B24="","",Configuration!$L24)</x:f>
      </x:c>
      <x:c r="K36" s="32" t="str">
        <x:f>IF(Configuration!$B24="","",Configuration!$T24)</x:f>
      </x:c>
    </x:row>
    <x:row r="37" ht="31" customHeight="1">
      <x:c r="A37" s="32" t="str">
        <x:f>IF(Configuration!$B25="","",Configuration!$A25)</x:f>
      </x:c>
      <x:c r="B37" s="32" t="str">
        <x:f>IF(Configuration!$B25="","",Configuration!$C25)</x:f>
      </x:c>
      <x:c r="C37" s="32" t="str">
        <x:f>IF(Configuration!$B25="","",Configuration!$D25)</x:f>
      </x:c>
      <x:c r="D37" s="32" t="str">
        <x:f>IF(Configuration!$B25="","",Configuration!$E25)</x:f>
      </x:c>
      <x:c r="E37" s="32" t="str">
        <x:f>IF(Configuration!$B25="","",Configuration!$F25)</x:f>
      </x:c>
      <x:c r="F37" s="73" t="str">
        <x:f>IF(Configuration!$B25="","",Configuration!$K25)</x:f>
      </x:c>
      <x:c r="G37" s="73" t="str">
        <x:f>IF(Configuration!$B25="","",Configuration!$P25)</x:f>
      </x:c>
      <x:c r="H37" s="73" t="str">
        <x:f>IF(Configuration!$B25="","",Configuration!$Q25)</x:f>
      </x:c>
      <x:c r="I37" s="73" t="str">
        <x:f>IF(Configuration!$B25="","",Configuration!$R25)</x:f>
      </x:c>
      <x:c r="J37" s="32" t="str">
        <x:f>IF(Configuration!$B25="","",Configuration!$L25)</x:f>
      </x:c>
      <x:c r="K37" s="32" t="str">
        <x:f>IF(Configuration!$B25="","",Configuration!$T25)</x:f>
      </x:c>
    </x:row>
    <x:row r="38" ht="31" customHeight="1">
      <x:c r="A38" s="32" t="str">
        <x:f>IF(Configuration!$B26="","",Configuration!$A26)</x:f>
      </x:c>
      <x:c r="B38" s="32" t="str">
        <x:f>IF(Configuration!$B26="","",Configuration!$C26)</x:f>
      </x:c>
      <x:c r="C38" s="32" t="str">
        <x:f>IF(Configuration!$B26="","",Configuration!$D26)</x:f>
      </x:c>
      <x:c r="D38" s="32" t="str">
        <x:f>IF(Configuration!$B26="","",Configuration!$E26)</x:f>
      </x:c>
      <x:c r="E38" s="32" t="str">
        <x:f>IF(Configuration!$B26="","",Configuration!$F26)</x:f>
      </x:c>
      <x:c r="F38" s="73" t="str">
        <x:f>IF(Configuration!$B26="","",Configuration!$K26)</x:f>
      </x:c>
      <x:c r="G38" s="73" t="str">
        <x:f>IF(Configuration!$B26="","",Configuration!$P26)</x:f>
      </x:c>
      <x:c r="H38" s="73" t="str">
        <x:f>IF(Configuration!$B26="","",Configuration!$Q26)</x:f>
      </x:c>
      <x:c r="I38" s="73" t="str">
        <x:f>IF(Configuration!$B26="","",Configuration!$R26)</x:f>
      </x:c>
      <x:c r="J38" s="32" t="str">
        <x:f>IF(Configuration!$B26="","",Configuration!$L26)</x:f>
      </x:c>
      <x:c r="K38" s="32" t="str">
        <x:f>IF(Configuration!$B26="","",Configuration!$T26)</x:f>
      </x:c>
    </x:row>
    <x:row r="39" ht="31" customHeight="1">
      <x:c r="A39" s="32" t="str">
        <x:f>IF(Configuration!$B27="","",Configuration!$A27)</x:f>
      </x:c>
      <x:c r="B39" s="32" t="str">
        <x:f>IF(Configuration!$B27="","",Configuration!$C27)</x:f>
      </x:c>
      <x:c r="C39" s="32" t="str">
        <x:f>IF(Configuration!$B27="","",Configuration!$D27)</x:f>
      </x:c>
      <x:c r="D39" s="32" t="str">
        <x:f>IF(Configuration!$B27="","",Configuration!$E27)</x:f>
      </x:c>
      <x:c r="E39" s="32" t="str">
        <x:f>IF(Configuration!$B27="","",Configuration!$F27)</x:f>
      </x:c>
      <x:c r="F39" s="73" t="str">
        <x:f>IF(Configuration!$B27="","",Configuration!$K27)</x:f>
      </x:c>
      <x:c r="G39" s="73" t="str">
        <x:f>IF(Configuration!$B27="","",Configuration!$P27)</x:f>
      </x:c>
      <x:c r="H39" s="73" t="str">
        <x:f>IF(Configuration!$B27="","",Configuration!$Q27)</x:f>
      </x:c>
      <x:c r="I39" s="73" t="str">
        <x:f>IF(Configuration!$B27="","",Configuration!$R27)</x:f>
      </x:c>
      <x:c r="J39" s="32" t="str">
        <x:f>IF(Configuration!$B27="","",Configuration!$L27)</x:f>
      </x:c>
      <x:c r="K39" s="32" t="str">
        <x:f>IF(Configuration!$B27="","",Configuration!$T27)</x:f>
      </x:c>
    </x:row>
    <x:row r="40" ht="31" customHeight="1">
      <x:c r="A40" s="32" t="str">
        <x:f>IF(Configuration!$B28="","",Configuration!$A28)</x:f>
      </x:c>
      <x:c r="B40" s="32" t="str">
        <x:f>IF(Configuration!$B28="","",Configuration!$C28)</x:f>
      </x:c>
      <x:c r="C40" s="32" t="str">
        <x:f>IF(Configuration!$B28="","",Configuration!$D28)</x:f>
      </x:c>
      <x:c r="D40" s="32" t="str">
        <x:f>IF(Configuration!$B28="","",Configuration!$E28)</x:f>
      </x:c>
      <x:c r="E40" s="32" t="str">
        <x:f>IF(Configuration!$B28="","",Configuration!$F28)</x:f>
      </x:c>
      <x:c r="F40" s="73" t="str">
        <x:f>IF(Configuration!$B28="","",Configuration!$K28)</x:f>
      </x:c>
      <x:c r="G40" s="73" t="str">
        <x:f>IF(Configuration!$B28="","",Configuration!$P28)</x:f>
      </x:c>
      <x:c r="H40" s="73" t="str">
        <x:f>IF(Configuration!$B28="","",Configuration!$Q28)</x:f>
      </x:c>
      <x:c r="I40" s="73" t="str">
        <x:f>IF(Configuration!$B28="","",Configuration!$R28)</x:f>
      </x:c>
      <x:c r="J40" s="32" t="str">
        <x:f>IF(Configuration!$B28="","",Configuration!$L28)</x:f>
      </x:c>
      <x:c r="K40" s="32" t="str">
        <x:f>IF(Configuration!$B28="","",Configuration!$T28)</x:f>
      </x:c>
    </x:row>
    <x:row r="41" ht="31" customHeight="1">
      <x:c r="A41" s="32" t="str">
        <x:f>IF(Configuration!$B29="","",Configuration!$A29)</x:f>
      </x:c>
      <x:c r="B41" s="32" t="str">
        <x:f>IF(Configuration!$B29="","",Configuration!$C29)</x:f>
      </x:c>
      <x:c r="C41" s="32" t="str">
        <x:f>IF(Configuration!$B29="","",Configuration!$D29)</x:f>
      </x:c>
      <x:c r="D41" s="32" t="str">
        <x:f>IF(Configuration!$B29="","",Configuration!$E29)</x:f>
      </x:c>
      <x:c r="E41" s="32" t="str">
        <x:f>IF(Configuration!$B29="","",Configuration!$F29)</x:f>
      </x:c>
      <x:c r="F41" s="73" t="str">
        <x:f>IF(Configuration!$B29="","",Configuration!$K29)</x:f>
      </x:c>
      <x:c r="G41" s="73" t="str">
        <x:f>IF(Configuration!$B29="","",Configuration!$P29)</x:f>
      </x:c>
      <x:c r="H41" s="73" t="str">
        <x:f>IF(Configuration!$B29="","",Configuration!$Q29)</x:f>
      </x:c>
      <x:c r="I41" s="73" t="str">
        <x:f>IF(Configuration!$B29="","",Configuration!$R29)</x:f>
      </x:c>
      <x:c r="J41" s="32" t="str">
        <x:f>IF(Configuration!$B29="","",Configuration!$L29)</x:f>
      </x:c>
      <x:c r="K41" s="32" t="str">
        <x:f>IF(Configuration!$B29="","",Configuration!$T29)</x:f>
      </x:c>
    </x:row>
    <x:row r="42" ht="31" customHeight="1">
      <x:c r="A42" s="32" t="str">
        <x:f>IF(Configuration!$B30="","",Configuration!$A30)</x:f>
      </x:c>
      <x:c r="B42" s="32" t="str">
        <x:f>IF(Configuration!$B30="","",Configuration!$C30)</x:f>
      </x:c>
      <x:c r="C42" s="32" t="str">
        <x:f>IF(Configuration!$B30="","",Configuration!$D30)</x:f>
      </x:c>
      <x:c r="D42" s="32" t="str">
        <x:f>IF(Configuration!$B30="","",Configuration!$E30)</x:f>
      </x:c>
      <x:c r="E42" s="32" t="str">
        <x:f>IF(Configuration!$B30="","",Configuration!$F30)</x:f>
      </x:c>
      <x:c r="F42" s="73" t="str">
        <x:f>IF(Configuration!$B30="","",Configuration!$K30)</x:f>
      </x:c>
      <x:c r="G42" s="73" t="str">
        <x:f>IF(Configuration!$B30="","",Configuration!$P30)</x:f>
      </x:c>
      <x:c r="H42" s="73" t="str">
        <x:f>IF(Configuration!$B30="","",Configuration!$Q30)</x:f>
      </x:c>
      <x:c r="I42" s="73" t="str">
        <x:f>IF(Configuration!$B30="","",Configuration!$R30)</x:f>
      </x:c>
      <x:c r="J42" s="32" t="str">
        <x:f>IF(Configuration!$B30="","",Configuration!$L30)</x:f>
      </x:c>
      <x:c r="K42" s="32" t="str">
        <x:f>IF(Configuration!$B30="","",Configuration!$T30)</x:f>
      </x:c>
    </x:row>
    <x:row r="45" ht="24" customHeight="1">
      <x:c r="A45" s="10" t="str">
        <x:v>ASSUMPTIONS AND EXCLUSIONS</x:v>
      </x:c>
      <x:c r="B45" s="10" t="str">
        <x:v>ASSUMPTIONS AND EXCLUSIONS</x:v>
      </x:c>
      <x:c r="C45" s="10" t="str">
        <x:v>ASSUMPTIONS AND EXCLUSIONS</x:v>
      </x:c>
      <x:c r="D45" s="10" t="str">
        <x:v>ASSUMPTIONS AND EXCLUSIONS</x:v>
      </x:c>
      <x:c r="E45" s="10" t="str">
        <x:v>ASSUMPTIONS AND EXCLUSIONS</x:v>
      </x:c>
      <x:c r="F45" s="10" t="str">
        <x:v>ASSUMPTIONS AND EXCLUSIONS</x:v>
      </x:c>
      <x:c r="G45" s="10" t="str">
        <x:v>ASSUMPTIONS AND EXCLUSIONS</x:v>
      </x:c>
      <x:c r="H45" s="10" t="str">
        <x:v>ASSUMPTIONS AND EXCLUSIONS</x:v>
      </x:c>
      <x:c r="I45" s="10" t="str">
        <x:v>ASSUMPTIONS AND EXCLUSIONS</x:v>
      </x:c>
      <x:c r="J45" s="10" t="str">
        <x:v>ASSUMPTIONS AND EXCLUSIONS</x:v>
      </x:c>
      <x:c r="K45" s="10" t="str">
        <x:v>ASSUMPTIONS AND EXCLUSIONS</x:v>
      </x:c>
    </x:row>
    <x:row r="46">
      <x:c r="A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B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C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D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E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F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G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H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I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J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K46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</x:row>
    <x:row r="47">
      <x:c r="A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B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C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D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E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F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G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H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I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J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K47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</x:row>
    <x:row r="48">
      <x:c r="A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B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C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D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E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F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G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H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I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J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K48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</x:row>
    <x:row r="49">
      <x:c r="A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B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C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D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E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F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G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H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I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J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K49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</x:row>
    <x:row r="50">
      <x:c r="A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B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C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D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E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F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G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H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I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J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K50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</x:row>
    <x:row r="51">
      <x:c r="A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B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C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D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E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F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G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H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I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J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  <x:c r="K51" s="76" t="str">
        <x:v>• CAD before tax. USD items use the editable working FX rate above.
• Public prices, promotions, minimums, availability, commitments, prerequisites, and vendor terms must be re-verified at order.
• Customer-direct vendor amounts are planning estimates paid by the client to the vendor. They are not Dirtyworks.ai invoice amounts.
• Annual-equivalent prices may be invoiced upfront by the vendor. Usage products are estimates and require budget controls.
• Custom integrations, data cleanup, identity projects, privacy/security/legal work, travel, and consumption beyond the estimate are excluded unless added.
• Customer owns tenant, data, billing, recovery, and exportable work products by default. No shared seats.</x:v>
      </x:c>
    </x:row>
  </x:sheetData>
  <x:mergeCells>
    <x:mergeCell ref="A1:K1"/>
    <x:mergeCell ref="A2:K2"/>
    <x:mergeCell ref="A4:K4"/>
    <x:mergeCell ref="D4:K4"/>
    <x:mergeCell ref="G6:K6"/>
    <x:mergeCell ref="G7:K7"/>
    <x:mergeCell ref="G8:K8"/>
    <x:mergeCell ref="G9:K9"/>
    <x:mergeCell ref="G10:K10"/>
    <x:mergeCell ref="G11:K11"/>
    <x:mergeCell ref="A14:K14"/>
    <x:mergeCell ref="A45:K45"/>
    <x:mergeCell ref="A46:K51"/>
  </x:mergeCells>
  <x:conditionalFormatting sqref="K17:K42">
    <x:cfRule type="containsText" dxfId="4" priority="1" operator="containsText" text="VERIFY"/>
    <x:cfRule type="containsText" dxfId="5" priority="2" operator="containsText" text="INVALID"/>
  </x:conditionalFormatting>
  <x:dataValidations count="1">
    <x:dataValidation type="list" sqref="B8">
      <x:formula1>"Direct,MSP co-managed,MSP white-label"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30" hidden="0" customWidth="1"/>
    <x:col min="13" max="13" width="16" hidden="0" customWidth="1"/>
    <x:col min="14" max="14" width="16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8" hidden="0" customWidth="1"/>
    <x:col min="21" max="21" width="58" hidden="0" customWidth="1"/>
  </x:cols>
  <x:sheetData>
    <x:row r="1" ht="40" customHeight="1">
      <x:c r="A1" s="3" t="str">
        <x:v>CLIENT PRODUCT CONFIGURATION</x:v>
      </x:c>
      <x:c r="B1" s="3" t="str">
        <x:v>CLIENT PRODUCT CONFIGURATION</x:v>
      </x:c>
      <x:c r="C1" s="3" t="str">
        <x:v>CLIENT PRODUCT CONFIGURATION</x:v>
      </x:c>
      <x:c r="D1" s="3" t="str">
        <x:v>CLIENT PRODUCT CONFIGURATION</x:v>
      </x:c>
      <x:c r="E1" s="3" t="str">
        <x:v>CLIENT PRODUCT CONFIGURATION</x:v>
      </x:c>
      <x:c r="F1" s="3" t="str">
        <x:v>CLIENT PRODUCT CONFIGURATION</x:v>
      </x:c>
      <x:c r="G1" s="3" t="str">
        <x:v>CLIENT PRODUCT CONFIGURATION</x:v>
      </x:c>
      <x:c r="H1" s="3" t="str">
        <x:v>CLIENT PRODUCT CONFIGURATION</x:v>
      </x:c>
      <x:c r="I1" s="3" t="str">
        <x:v>CLIENT PRODUCT CONFIGURATION</x:v>
      </x:c>
      <x:c r="J1" s="3" t="str">
        <x:v>CLIENT PRODUCT CONFIGURATION</x:v>
      </x:c>
      <x:c r="K1" s="3" t="str">
        <x:v>CLIENT PRODUCT CONFIGURATION</x:v>
      </x:c>
      <x:c r="L1" s="3" t="str">
        <x:v>CLIENT PRODUCT CONFIGURATION</x:v>
      </x:c>
      <x:c r="M1" s="3" t="str">
        <x:v>CLIENT PRODUCT CONFIGURATION</x:v>
      </x:c>
      <x:c r="N1" s="3" t="str">
        <x:v>CLIENT PRODUCT CONFIGURATION</x:v>
      </x:c>
      <x:c r="O1" s="3" t="str">
        <x:v>CLIENT PRODUCT CONFIGURATION</x:v>
      </x:c>
      <x:c r="P1" s="3" t="str">
        <x:v>CLIENT PRODUCT CONFIGURATION</x:v>
      </x:c>
      <x:c r="Q1" s="3" t="str">
        <x:v>CLIENT PRODUCT CONFIGURATION</x:v>
      </x:c>
      <x:c r="R1" s="3" t="str">
        <x:v>CLIENT PRODUCT CONFIGURATION</x:v>
      </x:c>
      <x:c r="S1" s="3" t="str">
        <x:v>CLIENT PRODUCT CONFIGURATION</x:v>
      </x:c>
      <x:c r="T1" s="3" t="str">
        <x:v>CLIENT PRODUCT CONFIGURATION</x:v>
      </x:c>
      <x:c r="U1" s="3" t="str">
        <x:v>CLIENT PRODUCT CONFIGURATION</x:v>
      </x:c>
    </x:row>
    <x:row r="2" ht="34" customHeight="1">
      <x:c r="A2" s="7" t="str">
        <x:v>Select Product ID and enter licence quantity or monthly budget. Managed Users drives onboarding/admin effort separately from vendor usage.</x:v>
      </x:c>
      <x:c r="B2" s="7" t="str">
        <x:v>Select Product ID and enter licence quantity or monthly budget. Managed Users drives onboarding/admin effort separately from vendor usage.</x:v>
      </x:c>
      <x:c r="C2" s="7" t="str">
        <x:v>Select Product ID and enter licence quantity or monthly budget. Managed Users drives onboarding/admin effort separately from vendor usage.</x:v>
      </x:c>
      <x:c r="D2" s="7" t="str">
        <x:v>Select Product ID and enter licence quantity or monthly budget. Managed Users drives onboarding/admin effort separately from vendor usage.</x:v>
      </x:c>
      <x:c r="E2" s="7" t="str">
        <x:v>Select Product ID and enter licence quantity or monthly budget. Managed Users drives onboarding/admin effort separately from vendor usage.</x:v>
      </x:c>
      <x:c r="F2" s="7" t="str">
        <x:v>Select Product ID and enter licence quantity or monthly budget. Managed Users drives onboarding/admin effort separately from vendor usage.</x:v>
      </x:c>
      <x:c r="G2" s="7" t="str">
        <x:v>Select Product ID and enter licence quantity or monthly budget. Managed Users drives onboarding/admin effort separately from vendor usage.</x:v>
      </x:c>
      <x:c r="H2" s="7" t="str">
        <x:v>Select Product ID and enter licence quantity or monthly budget. Managed Users drives onboarding/admin effort separately from vendor usage.</x:v>
      </x:c>
      <x:c r="I2" s="7" t="str">
        <x:v>Select Product ID and enter licence quantity or monthly budget. Managed Users drives onboarding/admin effort separately from vendor usage.</x:v>
      </x:c>
      <x:c r="J2" s="7" t="str">
        <x:v>Select Product ID and enter licence quantity or monthly budget. Managed Users drives onboarding/admin effort separately from vendor usage.</x:v>
      </x:c>
      <x:c r="K2" s="7" t="str">
        <x:v>Select Product ID and enter licence quantity or monthly budget. Managed Users drives onboarding/admin effort separately from vendor usage.</x:v>
      </x:c>
      <x:c r="L2" s="7" t="str">
        <x:v>Select Product ID and enter licence quantity or monthly budget. Managed Users drives onboarding/admin effort separately from vendor usage.</x:v>
      </x:c>
      <x:c r="M2" s="7" t="str">
        <x:v>Select Product ID and enter licence quantity or monthly budget. Managed Users drives onboarding/admin effort separately from vendor usage.</x:v>
      </x:c>
      <x:c r="N2" s="7" t="str">
        <x:v>Select Product ID and enter licence quantity or monthly budget. Managed Users drives onboarding/admin effort separately from vendor usage.</x:v>
      </x:c>
      <x:c r="O2" s="7" t="str">
        <x:v>Select Product ID and enter licence quantity or monthly budget. Managed Users drives onboarding/admin effort separately from vendor usage.</x:v>
      </x:c>
      <x:c r="P2" s="7" t="str">
        <x:v>Select Product ID and enter licence quantity or monthly budget. Managed Users drives onboarding/admin effort separately from vendor usage.</x:v>
      </x:c>
      <x:c r="Q2" s="7" t="str">
        <x:v>Select Product ID and enter licence quantity or monthly budget. Managed Users drives onboarding/admin effort separately from vendor usage.</x:v>
      </x:c>
      <x:c r="R2" s="7" t="str">
        <x:v>Select Product ID and enter licence quantity or monthly budget. Managed Users drives onboarding/admin effort separately from vendor usage.</x:v>
      </x:c>
      <x:c r="S2" s="7" t="str">
        <x:v>Select Product ID and enter licence quantity or monthly budget. Managed Users drives onboarding/admin effort separately from vendor usage.</x:v>
      </x:c>
      <x:c r="T2" s="7" t="str">
        <x:v>Select Product ID and enter licence quantity or monthly budget. Managed Users drives onboarding/admin effort separately from vendor usage.</x:v>
      </x:c>
      <x:c r="U2" s="7" t="str">
        <x:v>Select Product ID and enter licence quantity or monthly budget. Managed Users drives onboarding/admin effort separately from vendor usage.</x:v>
      </x:c>
    </x:row>
    <x:row r="4" ht="34" customHeight="1">
      <x:c r="A4" s="26" t="str">
        <x:v>Line</x:v>
      </x:c>
      <x:c r="B4" s="26" t="str">
        <x:v>Product ID*</x:v>
      </x:c>
      <x:c r="C4" s="26" t="str">
        <x:v>Product</x:v>
      </x:c>
      <x:c r="D4" s="26" t="str">
        <x:v>Plan</x:v>
      </x:c>
      <x:c r="E4" s="26" t="str">
        <x:v>Licence qty / monthly budget*</x:v>
      </x:c>
      <x:c r="F4" s="26" t="str">
        <x:v>Managed users*</x:v>
      </x:c>
      <x:c r="G4" s="26" t="str">
        <x:v>Unit-price override</x:v>
      </x:c>
      <x:c r="H4" s="26" t="str">
        <x:v>Unit price used</x:v>
      </x:c>
      <x:c r="I4" s="26" t="str">
        <x:v>Currency</x:v>
      </x:c>
      <x:c r="J4" s="26" t="str">
        <x:v>FX to CAD</x:v>
      </x:c>
      <x:c r="K4" s="26" t="str">
        <x:v>Vendor monthly estimate CAD</x:v>
      </x:c>
      <x:c r="L4" s="26" t="str">
        <x:v>Commercial path</x:v>
      </x:c>
      <x:c r="M4" s="26" t="str">
        <x:v>Tier override</x:v>
      </x:c>
      <x:c r="N4" s="26" t="str">
        <x:v>Tier used</x:v>
      </x:c>
      <x:c r="O4" s="26" t="str">
        <x:v>Custom one-time CAD</x:v>
      </x:c>
      <x:c r="P4" s="26" t="str">
        <x:v>DW one-time CAD</x:v>
      </x:c>
      <x:c r="Q4" s="26" t="str">
        <x:v>DW monthly CAD</x:v>
      </x:c>
      <x:c r="R4" s="26" t="str">
        <x:v>First-month estimate</x:v>
      </x:c>
      <x:c r="S4" s="26" t="str">
        <x:v>Annual recurring estimate</x:v>
      </x:c>
      <x:c r="T4" s="26" t="str">
        <x:v>Quote status</x:v>
      </x:c>
      <x:c r="U4" s="26" t="str">
        <x:v>Billing / operating note</x:v>
      </x:c>
    </x:row>
    <x:row r="5" ht="40" customHeight="1">
      <x:c r="A5" s="32" t="n">
        <x:v>1</x:v>
      </x:c>
      <x:c r="B5" s="46" t="str">
        <x:v>OA-CHATGPT-BUS-STD</x:v>
      </x:c>
      <x:c r="C5" s="32" t="str">
        <x:f>IF($B5="","",IFERROR(INDEX(Catalog!$D$5:$D$30,MATCH($B5,Catalog!$A$5:$A$30,0)),"UNKNOWN ID"))</x:f>
        <x:v>ChatGPT Business</x:v>
      </x:c>
      <x:c r="D5" s="32" t="str">
        <x:f>IF($B5="","",IFERROR(INDEX(Catalog!$E$5:$E$30,MATCH($B5,Catalog!$A$5:$A$30,0)),""))</x:f>
        <x:v>Standard</x:v>
      </x:c>
      <x:c r="E5" s="46" t="n">
        <x:v>3</x:v>
      </x:c>
      <x:c r="F5" s="46" t="n">
        <x:v>3</x:v>
      </x:c>
      <x:c r="G5" s="46" t="n">
        <x:v>0</x:v>
      </x:c>
      <x:c r="H5" s="49" t="n">
        <x:f>IF($B5="","",IF($G5&gt;0,$G5,IFERROR(INDEX(Catalog!$J$5:$J$30,MATCH($B5,Catalog!$A$5:$A$30,0)),0)))</x:f>
        <x:v>20</x:v>
      </x:c>
      <x:c r="I5" s="47" t="str">
        <x:f>IF($B5="","",IFERROR(INDEX(Catalog!$H$5:$H$30,MATCH($B5,Catalog!$A$5:$A$30,0)),""))</x:f>
        <x:v>USD</x:v>
      </x:c>
      <x:c r="J5" s="50" t="n">
        <x:f>IF($B5="","",IF($I5="CAD",1,'Client Quote'!$B$11))</x:f>
        <x:v>1.38</x:v>
      </x:c>
      <x:c r="K5" s="51" t="n">
        <x:f>IF($B5="","",ROUND($E5*$H5*$J5,2))</x:f>
        <x:v>82.8</x:v>
      </x:c>
      <x:c r="L5" s="48" t="str">
        <x:f>IF($B5="","",IFERROR(INDEX(Catalog!$L$5:$L$30,MATCH($B5,Catalog!$A$5:$A$30,0)),""))</x:f>
        <x:v>CUST-DIRECT</x:v>
      </x:c>
      <x:c r="M5" s="46"/>
      <x:c r="N5" s="48" t="str">
        <x:f>IF($B5="","",IF($M5&lt;&gt;"",$M5,IFERROR(INDEX(Catalog!$N$5:$N$30,MATCH($B5,Catalog!$A$5:$A$30,0)),"")))</x:f>
        <x:v>Manage</x:v>
      </x:c>
      <x:c r="O5" s="52" t="n">
        <x:v>0</x:v>
      </x:c>
      <x:c r="P5" s="51" t="n">
        <x:f>IF($B5="","",ROUND(IFERROR(INDEX('Fee Schedule'!$B$7:$B$9,MATCH($N5,'Fee Schedule'!$A$7:$A$9,0)),0)+$F5*IFERROR(INDEX('Fee Schedule'!$C$7:$C$9,MATCH($N5,'Fee Schedule'!$A$7:$A$9,0)),0)+$O5,2))</x:f>
        <x:v>1650</x:v>
      </x:c>
      <x:c r="Q5" s="51" t="n">
        <x:f>IF($B5="","",ROUND(IFERROR(INDEX('Fee Schedule'!$D$7:$D$9,MATCH($N5,'Fee Schedule'!$A$7:$A$9,0)),0)+$F5*IFERROR(INDEX('Fee Schedule'!$E$7:$E$9,MATCH($N5,'Fee Schedule'!$A$7:$A$9,0)),0),2))</x:f>
        <x:v>486</x:v>
      </x:c>
      <x:c r="R5" s="51" t="n">
        <x:f>IF($B5="","",$K5+$P5+$Q5)</x:f>
        <x:v>2218.8</x:v>
      </x:c>
      <x:c r="S5" s="51" t="n">
        <x:f>IF($B5="","",12*($K5+$Q5))</x:f>
        <x:v>6825.599999999999</x:v>
      </x:c>
      <x:c r="T5" s="32" t="str">
        <x:f>IF($B5="","",IF(COUNTIF(Catalog!$A$5:$A$30,$B5)=0,"INVALID PRODUCT",IF($E5&lt;IFERROR(INDEX(Catalog!$K$5:$K$30,MATCH($B5,Catalog!$A$5:$A$30,0)),0),"BELOW MINIMUM",IF(IFERROR(INDEX(Catalog!$O$5:$O$30,MATCH($B5,Catalog!$A$5:$A$30,0)),"Conditional")="Standard","READY","VERIFY"))))</x:f>
        <x:v>VERIFY</x:v>
      </x:c>
      <x:c r="U5" s="32" t="str">
        <x:f>IF($B5="","",IFERROR(INDEX(Catalog!$G$5:$G$30,MATCH($B5,Catalog!$A$5:$A$30,0)),"")&amp;" | "&amp;IFERROR(INDEX(Catalog!$Q$5:$Q$30,MATCH($B5,Catalog!$A$5:$A$30,0)),""))</x:f>
        <x:v>Seat / month | Central billing/admin; quote-time verify plan and commitment</x:v>
      </x:c>
    </x:row>
    <x:row r="6" ht="40" customHeight="1">
      <x:c r="A6" s="32" t="n">
        <x:v>2</x:v>
      </x:c>
      <x:c r="B6" s="46" t="str">
        <x:v>MJ-PRO</x:v>
      </x:c>
      <x:c r="C6" s="32" t="str">
        <x:f>IF($B6="","",IFERROR(INDEX(Catalog!$D$5:$D$30,MATCH($B6,Catalog!$A$5:$A$30,0)),"UNKNOWN ID"))</x:f>
        <x:v>Midjourney</x:v>
      </x:c>
      <x:c r="D6" s="32" t="str">
        <x:f>IF($B6="","",IFERROR(INDEX(Catalog!$E$5:$E$30,MATCH($B6,Catalog!$A$5:$A$30,0)),""))</x:f>
        <x:v>Pro</x:v>
      </x:c>
      <x:c r="E6" s="46" t="n">
        <x:v>4</x:v>
      </x:c>
      <x:c r="F6" s="46" t="n">
        <x:v>4</x:v>
      </x:c>
      <x:c r="G6" s="46" t="n">
        <x:v>0</x:v>
      </x:c>
      <x:c r="H6" s="49" t="n">
        <x:f>IF($B6="","",IF($G6&gt;0,$G6,IFERROR(INDEX(Catalog!$J$5:$J$30,MATCH($B6,Catalog!$A$5:$A$30,0)),0)))</x:f>
        <x:v>48</x:v>
      </x:c>
      <x:c r="I6" s="47" t="str">
        <x:f>IF($B6="","",IFERROR(INDEX(Catalog!$H$5:$H$30,MATCH($B6,Catalog!$A$5:$A$30,0)),""))</x:f>
        <x:v>USD</x:v>
      </x:c>
      <x:c r="J6" s="50" t="n">
        <x:f>IF($B6="","",IF($I6="CAD",1,'Client Quote'!$B$11))</x:f>
        <x:v>1.38</x:v>
      </x:c>
      <x:c r="K6" s="51" t="n">
        <x:f>IF($B6="","",ROUND($E6*$H6*$J6,2))</x:f>
        <x:v>264.96</x:v>
      </x:c>
      <x:c r="L6" s="48" t="str">
        <x:f>IF($B6="","",IFERROR(INDEX(Catalog!$L$5:$L$30,MATCH($B6,Catalog!$A$5:$A$30,0)),""))</x:f>
        <x:v>CUST-DIRECT</x:v>
      </x:c>
      <x:c r="M6" s="46"/>
      <x:c r="N6" s="48" t="str">
        <x:f>IF($B6="","",IF($M6&lt;&gt;"",$M6,IFERROR(INDEX(Catalog!$N$5:$N$30,MATCH($B6,Catalog!$A$5:$A$30,0)),"")))</x:f>
        <x:v>Register</x:v>
      </x:c>
      <x:c r="O6" s="52" t="n">
        <x:v>0</x:v>
      </x:c>
      <x:c r="P6" s="51" t="n">
        <x:f>IF($B6="","",ROUND(IFERROR(INDEX('Fee Schedule'!$B$7:$B$9,MATCH($N6,'Fee Schedule'!$A$7:$A$9,0)),0)+$F6*IFERROR(INDEX('Fee Schedule'!$C$7:$C$9,MATCH($N6,'Fee Schedule'!$A$7:$A$9,0)),0)+$O6,2))</x:f>
        <x:v>600</x:v>
      </x:c>
      <x:c r="Q6" s="51" t="n">
        <x:f>IF($B6="","",ROUND(IFERROR(INDEX('Fee Schedule'!$D$7:$D$9,MATCH($N6,'Fee Schedule'!$A$7:$A$9,0)),0)+$F6*IFERROR(INDEX('Fee Schedule'!$E$7:$E$9,MATCH($N6,'Fee Schedule'!$A$7:$A$9,0)),0),2))</x:f>
        <x:v>170</x:v>
      </x:c>
      <x:c r="R6" s="51" t="n">
        <x:f>IF($B6="","",$K6+$P6+$Q6)</x:f>
        <x:v>1034.96</x:v>
      </x:c>
      <x:c r="S6" s="51" t="n">
        <x:f>IF($B6="","",12*($K6+$Q6))</x:f>
        <x:v>5219.5199999999995</x:v>
      </x:c>
      <x:c r="T6" s="32" t="str">
        <x:f>IF($B6="","",IF(COUNTIF(Catalog!$A$5:$A$30,$B6)=0,"INVALID PRODUCT",IF($E6&lt;IFERROR(INDEX(Catalog!$K$5:$K$30,MATCH($B6,Catalog!$A$5:$A$30,0)),0),"BELOW MINIMUM",IF(IFERROR(INDEX(Catalog!$O$5:$O$30,MATCH($B6,Catalog!$A$5:$A$30,0)),"Conditional")="Standard","READY","VERIFY"))))</x:f>
        <x:v>VERIFY</x:v>
      </x:c>
      <x:c r="U6" s="32" t="str">
        <x:f>IF($B6="","",IFERROR(INDEX(Catalog!$G$5:$G$30,MATCH($B6,Catalog!$A$5:$A$30,0)),"")&amp;" | "&amp;IFERROR(INDEX(Catalog!$Q$5:$Q$30,MATCH($B6,Catalog!$A$5:$A$30,0)),""))</x:f>
        <x:v>Subscription / user / month | Individual-account administration constraints; annual price is 20% below monthly</x:v>
      </x:c>
    </x:row>
    <x:row r="7" ht="40" customHeight="1">
      <x:c r="A7" s="32" t="n">
        <x:v>3</x:v>
      </x:c>
      <x:c r="B7" s="46" t="str">
        <x:v>OR-PAYG</x:v>
      </x:c>
      <x:c r="C7" s="32" t="str">
        <x:f>IF($B7="","",IFERROR(INDEX(Catalog!$D$5:$D$30,MATCH($B7,Catalog!$A$5:$A$30,0)),"UNKNOWN ID"))</x:f>
        <x:v>OpenRouter</x:v>
      </x:c>
      <x:c r="D7" s="32" t="str">
        <x:f>IF($B7="","",IFERROR(INDEX(Catalog!$E$5:$E$30,MATCH($B7,Catalog!$A$5:$A$30,0)),""))</x:f>
        <x:v>Pay-as-you-go</x:v>
      </x:c>
      <x:c r="E7" s="46" t="n">
        <x:v>500</x:v>
      </x:c>
      <x:c r="F7" s="46" t="n">
        <x:v>3</x:v>
      </x:c>
      <x:c r="G7" s="46" t="n">
        <x:v>0</x:v>
      </x:c>
      <x:c r="H7" s="49" t="n">
        <x:f>IF($B7="","",IF($G7&gt;0,$G7,IFERROR(INDEX(Catalog!$J$5:$J$30,MATCH($B7,Catalog!$A$5:$A$30,0)),0)))</x:f>
        <x:v>1.055</x:v>
      </x:c>
      <x:c r="I7" s="47" t="str">
        <x:f>IF($B7="","",IFERROR(INDEX(Catalog!$H$5:$H$30,MATCH($B7,Catalog!$A$5:$A$30,0)),""))</x:f>
        <x:v>USD</x:v>
      </x:c>
      <x:c r="J7" s="50" t="n">
        <x:f>IF($B7="","",IF($I7="CAD",1,'Client Quote'!$B$11))</x:f>
        <x:v>1.38</x:v>
      </x:c>
      <x:c r="K7" s="51" t="n">
        <x:f>IF($B7="","",ROUND($E7*$H7*$J7,2))</x:f>
        <x:v>727.95</x:v>
      </x:c>
      <x:c r="L7" s="48" t="str">
        <x:f>IF($B7="","",IFERROR(INDEX(Catalog!$L$5:$L$30,MATCH($B7,Catalog!$A$5:$A$30,0)),""))</x:f>
        <x:v>CUST-DIRECT</x:v>
      </x:c>
      <x:c r="M7" s="46"/>
      <x:c r="N7" s="48" t="str">
        <x:f>IF($B7="","",IF($M7&lt;&gt;"",$M7,IFERROR(INDEX(Catalog!$N$5:$N$30,MATCH($B7,Catalog!$A$5:$A$30,0)),"")))</x:f>
        <x:v>Operate</x:v>
      </x:c>
      <x:c r="O7" s="52" t="n">
        <x:v>0</x:v>
      </x:c>
      <x:c r="P7" s="51" t="n">
        <x:f>IF($B7="","",ROUND(IFERROR(INDEX('Fee Schedule'!$B$7:$B$9,MATCH($N7,'Fee Schedule'!$A$7:$A$9,0)),0)+$F7*IFERROR(INDEX('Fee Schedule'!$C$7:$C$9,MATCH($N7,'Fee Schedule'!$A$7:$A$9,0)),0)+$O7,2))</x:f>
        <x:v>3725</x:v>
      </x:c>
      <x:c r="Q7" s="51" t="n">
        <x:f>IF($B7="","",ROUND(IFERROR(INDEX('Fee Schedule'!$D$7:$D$9,MATCH($N7,'Fee Schedule'!$A$7:$A$9,0)),0)+$F7*IFERROR(INDEX('Fee Schedule'!$E$7:$E$9,MATCH($N7,'Fee Schedule'!$A$7:$A$9,0)),0),2))</x:f>
        <x:v>1060</x:v>
      </x:c>
      <x:c r="R7" s="51" t="n">
        <x:f>IF($B7="","",$K7+$P7+$Q7)</x:f>
        <x:v>5512.95</x:v>
      </x:c>
      <x:c r="S7" s="51" t="n">
        <x:f>IF($B7="","",12*($K7+$Q7))</x:f>
        <x:v>21455.4</x:v>
      </x:c>
      <x:c r="T7" s="32" t="str">
        <x:f>IF($B7="","",IF(COUNTIF(Catalog!$A$5:$A$30,$B7)=0,"INVALID PRODUCT",IF($E7&lt;IFERROR(INDEX(Catalog!$K$5:$K$30,MATCH($B7,Catalog!$A$5:$A$30,0)),0),"BELOW MINIMUM",IF(IFERROR(INDEX(Catalog!$O$5:$O$30,MATCH($B7,Catalog!$A$5:$A$30,0)),"Conditional")="Standard","READY","VERIFY"))))</x:f>
        <x:v>VERIFY</x:v>
      </x:c>
      <x:c r="U7" s="32" t="str">
        <x:f>IF($B7="","",IFERROR(INDEX(Catalog!$G$5:$G$30,MATCH($B7,Catalog!$A$5:$A$30,0)),"")&amp;" | "&amp;IFERROR(INDEX(Catalog!$Q$5:$Q$30,MATCH($B7,Catalog!$A$5:$A$30,0)),""))</x:f>
        <x:v>USD monthly budget | Price factor models stated 5.5% credit-purchase fee; BYOK terms differ</x:v>
      </x:c>
    </x:row>
    <x:row r="8" ht="40" customHeight="1">
      <x:c r="A8" s="32" t="n">
        <x:v>4</x:v>
      </x:c>
      <x:c r="B8" s="46"/>
      <x:c r="C8" s="32" t="str">
        <x:f>IF($B8="","",IFERROR(INDEX(Catalog!$D$5:$D$30,MATCH($B8,Catalog!$A$5:$A$30,0)),"UNKNOWN ID"))</x:f>
      </x:c>
      <x:c r="D8" s="32" t="str">
        <x:f>IF($B8="","",IFERROR(INDEX(Catalog!$E$5:$E$30,MATCH($B8,Catalog!$A$5:$A$30,0)),""))</x:f>
      </x:c>
      <x:c r="E8" s="46"/>
      <x:c r="F8" s="46"/>
      <x:c r="G8" s="46"/>
      <x:c r="H8" s="49" t="str">
        <x:f>IF($B8="","",IF($G8&gt;0,$G8,IFERROR(INDEX(Catalog!$J$5:$J$30,MATCH($B8,Catalog!$A$5:$A$30,0)),0)))</x:f>
      </x:c>
      <x:c r="I8" s="47" t="str">
        <x:f>IF($B8="","",IFERROR(INDEX(Catalog!$H$5:$H$30,MATCH($B8,Catalog!$A$5:$A$30,0)),""))</x:f>
      </x:c>
      <x:c r="J8" s="50" t="str">
        <x:f>IF($B8="","",IF($I8="CAD",1,'Client Quote'!$B$11))</x:f>
      </x:c>
      <x:c r="K8" s="51" t="str">
        <x:f>IF($B8="","",ROUND($E8*$H8*$J8,2))</x:f>
      </x:c>
      <x:c r="L8" s="48" t="str">
        <x:f>IF($B8="","",IFERROR(INDEX(Catalog!$L$5:$L$30,MATCH($B8,Catalog!$A$5:$A$30,0)),""))</x:f>
      </x:c>
      <x:c r="M8" s="46"/>
      <x:c r="N8" s="48" t="str">
        <x:f>IF($B8="","",IF($M8&lt;&gt;"",$M8,IFERROR(INDEX(Catalog!$N$5:$N$30,MATCH($B8,Catalog!$A$5:$A$30,0)),"")))</x:f>
      </x:c>
      <x:c r="O8" s="52" t="n">
        <x:v>0</x:v>
      </x:c>
      <x:c r="P8" s="51" t="str">
        <x:f>IF($B8="","",ROUND(IFERROR(INDEX('Fee Schedule'!$B$7:$B$9,MATCH($N8,'Fee Schedule'!$A$7:$A$9,0)),0)+$F8*IFERROR(INDEX('Fee Schedule'!$C$7:$C$9,MATCH($N8,'Fee Schedule'!$A$7:$A$9,0)),0)+$O8,2))</x:f>
      </x:c>
      <x:c r="Q8" s="51" t="str">
        <x:f>IF($B8="","",ROUND(IFERROR(INDEX('Fee Schedule'!$D$7:$D$9,MATCH($N8,'Fee Schedule'!$A$7:$A$9,0)),0)+$F8*IFERROR(INDEX('Fee Schedule'!$E$7:$E$9,MATCH($N8,'Fee Schedule'!$A$7:$A$9,0)),0),2))</x:f>
      </x:c>
      <x:c r="R8" s="51" t="str">
        <x:f>IF($B8="","",$K8+$P8+$Q8)</x:f>
      </x:c>
      <x:c r="S8" s="51" t="str">
        <x:f>IF($B8="","",12*($K8+$Q8))</x:f>
      </x:c>
      <x:c r="T8" s="32" t="str">
        <x:f>IF($B8="","",IF(COUNTIF(Catalog!$A$5:$A$30,$B8)=0,"INVALID PRODUCT",IF($E8&lt;IFERROR(INDEX(Catalog!$K$5:$K$30,MATCH($B8,Catalog!$A$5:$A$30,0)),0),"BELOW MINIMUM",IF(IFERROR(INDEX(Catalog!$O$5:$O$30,MATCH($B8,Catalog!$A$5:$A$30,0)),"Conditional")="Standard","READY","VERIFY"))))</x:f>
      </x:c>
      <x:c r="U8" s="32" t="str">
        <x:f>IF($B8="","",IFERROR(INDEX(Catalog!$G$5:$G$30,MATCH($B8,Catalog!$A$5:$A$30,0)),"")&amp;" | "&amp;IFERROR(INDEX(Catalog!$Q$5:$Q$30,MATCH($B8,Catalog!$A$5:$A$30,0)),""))</x:f>
      </x:c>
    </x:row>
    <x:row r="9" ht="40" customHeight="1">
      <x:c r="A9" s="32" t="n">
        <x:v>5</x:v>
      </x:c>
      <x:c r="B9" s="46"/>
      <x:c r="C9" s="32" t="str">
        <x:f>IF($B9="","",IFERROR(INDEX(Catalog!$D$5:$D$30,MATCH($B9,Catalog!$A$5:$A$30,0)),"UNKNOWN ID"))</x:f>
      </x:c>
      <x:c r="D9" s="32" t="str">
        <x:f>IF($B9="","",IFERROR(INDEX(Catalog!$E$5:$E$30,MATCH($B9,Catalog!$A$5:$A$30,0)),""))</x:f>
      </x:c>
      <x:c r="E9" s="46"/>
      <x:c r="F9" s="46"/>
      <x:c r="G9" s="46"/>
      <x:c r="H9" s="49" t="str">
        <x:f>IF($B9="","",IF($G9&gt;0,$G9,IFERROR(INDEX(Catalog!$J$5:$J$30,MATCH($B9,Catalog!$A$5:$A$30,0)),0)))</x:f>
      </x:c>
      <x:c r="I9" s="47" t="str">
        <x:f>IF($B9="","",IFERROR(INDEX(Catalog!$H$5:$H$30,MATCH($B9,Catalog!$A$5:$A$30,0)),""))</x:f>
      </x:c>
      <x:c r="J9" s="50" t="str">
        <x:f>IF($B9="","",IF($I9="CAD",1,'Client Quote'!$B$11))</x:f>
      </x:c>
      <x:c r="K9" s="51" t="str">
        <x:f>IF($B9="","",ROUND($E9*$H9*$J9,2))</x:f>
      </x:c>
      <x:c r="L9" s="48" t="str">
        <x:f>IF($B9="","",IFERROR(INDEX(Catalog!$L$5:$L$30,MATCH($B9,Catalog!$A$5:$A$30,0)),""))</x:f>
      </x:c>
      <x:c r="M9" s="46"/>
      <x:c r="N9" s="48" t="str">
        <x:f>IF($B9="","",IF($M9&lt;&gt;"",$M9,IFERROR(INDEX(Catalog!$N$5:$N$30,MATCH($B9,Catalog!$A$5:$A$30,0)),"")))</x:f>
      </x:c>
      <x:c r="O9" s="52" t="n">
        <x:v>0</x:v>
      </x:c>
      <x:c r="P9" s="51" t="str">
        <x:f>IF($B9="","",ROUND(IFERROR(INDEX('Fee Schedule'!$B$7:$B$9,MATCH($N9,'Fee Schedule'!$A$7:$A$9,0)),0)+$F9*IFERROR(INDEX('Fee Schedule'!$C$7:$C$9,MATCH($N9,'Fee Schedule'!$A$7:$A$9,0)),0)+$O9,2))</x:f>
      </x:c>
      <x:c r="Q9" s="51" t="str">
        <x:f>IF($B9="","",ROUND(IFERROR(INDEX('Fee Schedule'!$D$7:$D$9,MATCH($N9,'Fee Schedule'!$A$7:$A$9,0)),0)+$F9*IFERROR(INDEX('Fee Schedule'!$E$7:$E$9,MATCH($N9,'Fee Schedule'!$A$7:$A$9,0)),0),2))</x:f>
      </x:c>
      <x:c r="R9" s="51" t="str">
        <x:f>IF($B9="","",$K9+$P9+$Q9)</x:f>
      </x:c>
      <x:c r="S9" s="51" t="str">
        <x:f>IF($B9="","",12*($K9+$Q9))</x:f>
      </x:c>
      <x:c r="T9" s="32" t="str">
        <x:f>IF($B9="","",IF(COUNTIF(Catalog!$A$5:$A$30,$B9)=0,"INVALID PRODUCT",IF($E9&lt;IFERROR(INDEX(Catalog!$K$5:$K$30,MATCH($B9,Catalog!$A$5:$A$30,0)),0),"BELOW MINIMUM",IF(IFERROR(INDEX(Catalog!$O$5:$O$30,MATCH($B9,Catalog!$A$5:$A$30,0)),"Conditional")="Standard","READY","VERIFY"))))</x:f>
      </x:c>
      <x:c r="U9" s="32" t="str">
        <x:f>IF($B9="","",IFERROR(INDEX(Catalog!$G$5:$G$30,MATCH($B9,Catalog!$A$5:$A$30,0)),"")&amp;" | "&amp;IFERROR(INDEX(Catalog!$Q$5:$Q$30,MATCH($B9,Catalog!$A$5:$A$30,0)),""))</x:f>
      </x:c>
    </x:row>
    <x:row r="10" ht="40" customHeight="1">
      <x:c r="A10" s="32" t="n">
        <x:v>6</x:v>
      </x:c>
      <x:c r="B10" s="46"/>
      <x:c r="C10" s="32" t="str">
        <x:f>IF($B10="","",IFERROR(INDEX(Catalog!$D$5:$D$30,MATCH($B10,Catalog!$A$5:$A$30,0)),"UNKNOWN ID"))</x:f>
      </x:c>
      <x:c r="D10" s="32" t="str">
        <x:f>IF($B10="","",IFERROR(INDEX(Catalog!$E$5:$E$30,MATCH($B10,Catalog!$A$5:$A$30,0)),""))</x:f>
      </x:c>
      <x:c r="E10" s="46"/>
      <x:c r="F10" s="46"/>
      <x:c r="G10" s="46"/>
      <x:c r="H10" s="49" t="str">
        <x:f>IF($B10="","",IF($G10&gt;0,$G10,IFERROR(INDEX(Catalog!$J$5:$J$30,MATCH($B10,Catalog!$A$5:$A$30,0)),0)))</x:f>
      </x:c>
      <x:c r="I10" s="47" t="str">
        <x:f>IF($B10="","",IFERROR(INDEX(Catalog!$H$5:$H$30,MATCH($B10,Catalog!$A$5:$A$30,0)),""))</x:f>
      </x:c>
      <x:c r="J10" s="50" t="str">
        <x:f>IF($B10="","",IF($I10="CAD",1,'Client Quote'!$B$11))</x:f>
      </x:c>
      <x:c r="K10" s="51" t="str">
        <x:f>IF($B10="","",ROUND($E10*$H10*$J10,2))</x:f>
      </x:c>
      <x:c r="L10" s="48" t="str">
        <x:f>IF($B10="","",IFERROR(INDEX(Catalog!$L$5:$L$30,MATCH($B10,Catalog!$A$5:$A$30,0)),""))</x:f>
      </x:c>
      <x:c r="M10" s="46"/>
      <x:c r="N10" s="48" t="str">
        <x:f>IF($B10="","",IF($M10&lt;&gt;"",$M10,IFERROR(INDEX(Catalog!$N$5:$N$30,MATCH($B10,Catalog!$A$5:$A$30,0)),"")))</x:f>
      </x:c>
      <x:c r="O10" s="52" t="n">
        <x:v>0</x:v>
      </x:c>
      <x:c r="P10" s="51" t="str">
        <x:f>IF($B10="","",ROUND(IFERROR(INDEX('Fee Schedule'!$B$7:$B$9,MATCH($N10,'Fee Schedule'!$A$7:$A$9,0)),0)+$F10*IFERROR(INDEX('Fee Schedule'!$C$7:$C$9,MATCH($N10,'Fee Schedule'!$A$7:$A$9,0)),0)+$O10,2))</x:f>
      </x:c>
      <x:c r="Q10" s="51" t="str">
        <x:f>IF($B10="","",ROUND(IFERROR(INDEX('Fee Schedule'!$D$7:$D$9,MATCH($N10,'Fee Schedule'!$A$7:$A$9,0)),0)+$F10*IFERROR(INDEX('Fee Schedule'!$E$7:$E$9,MATCH($N10,'Fee Schedule'!$A$7:$A$9,0)),0),2))</x:f>
      </x:c>
      <x:c r="R10" s="51" t="str">
        <x:f>IF($B10="","",$K10+$P10+$Q10)</x:f>
      </x:c>
      <x:c r="S10" s="51" t="str">
        <x:f>IF($B10="","",12*($K10+$Q10))</x:f>
      </x:c>
      <x:c r="T10" s="32" t="str">
        <x:f>IF($B10="","",IF(COUNTIF(Catalog!$A$5:$A$30,$B10)=0,"INVALID PRODUCT",IF($E10&lt;IFERROR(INDEX(Catalog!$K$5:$K$30,MATCH($B10,Catalog!$A$5:$A$30,0)),0),"BELOW MINIMUM",IF(IFERROR(INDEX(Catalog!$O$5:$O$30,MATCH($B10,Catalog!$A$5:$A$30,0)),"Conditional")="Standard","READY","VERIFY"))))</x:f>
      </x:c>
      <x:c r="U10" s="32" t="str">
        <x:f>IF($B10="","",IFERROR(INDEX(Catalog!$G$5:$G$30,MATCH($B10,Catalog!$A$5:$A$30,0)),"")&amp;" | "&amp;IFERROR(INDEX(Catalog!$Q$5:$Q$30,MATCH($B10,Catalog!$A$5:$A$30,0)),""))</x:f>
      </x:c>
    </x:row>
    <x:row r="11" ht="40" customHeight="1">
      <x:c r="A11" s="32" t="n">
        <x:v>7</x:v>
      </x:c>
      <x:c r="B11" s="46"/>
      <x:c r="C11" s="32" t="str">
        <x:f>IF($B11="","",IFERROR(INDEX(Catalog!$D$5:$D$30,MATCH($B11,Catalog!$A$5:$A$30,0)),"UNKNOWN ID"))</x:f>
      </x:c>
      <x:c r="D11" s="32" t="str">
        <x:f>IF($B11="","",IFERROR(INDEX(Catalog!$E$5:$E$30,MATCH($B11,Catalog!$A$5:$A$30,0)),""))</x:f>
      </x:c>
      <x:c r="E11" s="46"/>
      <x:c r="F11" s="46"/>
      <x:c r="G11" s="46"/>
      <x:c r="H11" s="49" t="str">
        <x:f>IF($B11="","",IF($G11&gt;0,$G11,IFERROR(INDEX(Catalog!$J$5:$J$30,MATCH($B11,Catalog!$A$5:$A$30,0)),0)))</x:f>
      </x:c>
      <x:c r="I11" s="47" t="str">
        <x:f>IF($B11="","",IFERROR(INDEX(Catalog!$H$5:$H$30,MATCH($B11,Catalog!$A$5:$A$30,0)),""))</x:f>
      </x:c>
      <x:c r="J11" s="50" t="str">
        <x:f>IF($B11="","",IF($I11="CAD",1,'Client Quote'!$B$11))</x:f>
      </x:c>
      <x:c r="K11" s="51" t="str">
        <x:f>IF($B11="","",ROUND($E11*$H11*$J11,2))</x:f>
      </x:c>
      <x:c r="L11" s="48" t="str">
        <x:f>IF($B11="","",IFERROR(INDEX(Catalog!$L$5:$L$30,MATCH($B11,Catalog!$A$5:$A$30,0)),""))</x:f>
      </x:c>
      <x:c r="M11" s="46"/>
      <x:c r="N11" s="48" t="str">
        <x:f>IF($B11="","",IF($M11&lt;&gt;"",$M11,IFERROR(INDEX(Catalog!$N$5:$N$30,MATCH($B11,Catalog!$A$5:$A$30,0)),"")))</x:f>
      </x:c>
      <x:c r="O11" s="52" t="n">
        <x:v>0</x:v>
      </x:c>
      <x:c r="P11" s="51" t="str">
        <x:f>IF($B11="","",ROUND(IFERROR(INDEX('Fee Schedule'!$B$7:$B$9,MATCH($N11,'Fee Schedule'!$A$7:$A$9,0)),0)+$F11*IFERROR(INDEX('Fee Schedule'!$C$7:$C$9,MATCH($N11,'Fee Schedule'!$A$7:$A$9,0)),0)+$O11,2))</x:f>
      </x:c>
      <x:c r="Q11" s="51" t="str">
        <x:f>IF($B11="","",ROUND(IFERROR(INDEX('Fee Schedule'!$D$7:$D$9,MATCH($N11,'Fee Schedule'!$A$7:$A$9,0)),0)+$F11*IFERROR(INDEX('Fee Schedule'!$E$7:$E$9,MATCH($N11,'Fee Schedule'!$A$7:$A$9,0)),0),2))</x:f>
      </x:c>
      <x:c r="R11" s="51" t="str">
        <x:f>IF($B11="","",$K11+$P11+$Q11)</x:f>
      </x:c>
      <x:c r="S11" s="51" t="str">
        <x:f>IF($B11="","",12*($K11+$Q11))</x:f>
      </x:c>
      <x:c r="T11" s="32" t="str">
        <x:f>IF($B11="","",IF(COUNTIF(Catalog!$A$5:$A$30,$B11)=0,"INVALID PRODUCT",IF($E11&lt;IFERROR(INDEX(Catalog!$K$5:$K$30,MATCH($B11,Catalog!$A$5:$A$30,0)),0),"BELOW MINIMUM",IF(IFERROR(INDEX(Catalog!$O$5:$O$30,MATCH($B11,Catalog!$A$5:$A$30,0)),"Conditional")="Standard","READY","VERIFY"))))</x:f>
      </x:c>
      <x:c r="U11" s="32" t="str">
        <x:f>IF($B11="","",IFERROR(INDEX(Catalog!$G$5:$G$30,MATCH($B11,Catalog!$A$5:$A$30,0)),"")&amp;" | "&amp;IFERROR(INDEX(Catalog!$Q$5:$Q$30,MATCH($B11,Catalog!$A$5:$A$30,0)),""))</x:f>
      </x:c>
    </x:row>
    <x:row r="12" ht="40" customHeight="1">
      <x:c r="A12" s="32" t="n">
        <x:v>8</x:v>
      </x:c>
      <x:c r="B12" s="46"/>
      <x:c r="C12" s="32" t="str">
        <x:f>IF($B12="","",IFERROR(INDEX(Catalog!$D$5:$D$30,MATCH($B12,Catalog!$A$5:$A$30,0)),"UNKNOWN ID"))</x:f>
      </x:c>
      <x:c r="D12" s="32" t="str">
        <x:f>IF($B12="","",IFERROR(INDEX(Catalog!$E$5:$E$30,MATCH($B12,Catalog!$A$5:$A$30,0)),""))</x:f>
      </x:c>
      <x:c r="E12" s="46"/>
      <x:c r="F12" s="46"/>
      <x:c r="G12" s="46"/>
      <x:c r="H12" s="49" t="str">
        <x:f>IF($B12="","",IF($G12&gt;0,$G12,IFERROR(INDEX(Catalog!$J$5:$J$30,MATCH($B12,Catalog!$A$5:$A$30,0)),0)))</x:f>
      </x:c>
      <x:c r="I12" s="47" t="str">
        <x:f>IF($B12="","",IFERROR(INDEX(Catalog!$H$5:$H$30,MATCH($B12,Catalog!$A$5:$A$30,0)),""))</x:f>
      </x:c>
      <x:c r="J12" s="50" t="str">
        <x:f>IF($B12="","",IF($I12="CAD",1,'Client Quote'!$B$11))</x:f>
      </x:c>
      <x:c r="K12" s="51" t="str">
        <x:f>IF($B12="","",ROUND($E12*$H12*$J12,2))</x:f>
      </x:c>
      <x:c r="L12" s="48" t="str">
        <x:f>IF($B12="","",IFERROR(INDEX(Catalog!$L$5:$L$30,MATCH($B12,Catalog!$A$5:$A$30,0)),""))</x:f>
      </x:c>
      <x:c r="M12" s="46"/>
      <x:c r="N12" s="48" t="str">
        <x:f>IF($B12="","",IF($M12&lt;&gt;"",$M12,IFERROR(INDEX(Catalog!$N$5:$N$30,MATCH($B12,Catalog!$A$5:$A$30,0)),"")))</x:f>
      </x:c>
      <x:c r="O12" s="52" t="n">
        <x:v>0</x:v>
      </x:c>
      <x:c r="P12" s="51" t="str">
        <x:f>IF($B12="","",ROUND(IFERROR(INDEX('Fee Schedule'!$B$7:$B$9,MATCH($N12,'Fee Schedule'!$A$7:$A$9,0)),0)+$F12*IFERROR(INDEX('Fee Schedule'!$C$7:$C$9,MATCH($N12,'Fee Schedule'!$A$7:$A$9,0)),0)+$O12,2))</x:f>
      </x:c>
      <x:c r="Q12" s="51" t="str">
        <x:f>IF($B12="","",ROUND(IFERROR(INDEX('Fee Schedule'!$D$7:$D$9,MATCH($N12,'Fee Schedule'!$A$7:$A$9,0)),0)+$F12*IFERROR(INDEX('Fee Schedule'!$E$7:$E$9,MATCH($N12,'Fee Schedule'!$A$7:$A$9,0)),0),2))</x:f>
      </x:c>
      <x:c r="R12" s="51" t="str">
        <x:f>IF($B12="","",$K12+$P12+$Q12)</x:f>
      </x:c>
      <x:c r="S12" s="51" t="str">
        <x:f>IF($B12="","",12*($K12+$Q12))</x:f>
      </x:c>
      <x:c r="T12" s="32" t="str">
        <x:f>IF($B12="","",IF(COUNTIF(Catalog!$A$5:$A$30,$B12)=0,"INVALID PRODUCT",IF($E12&lt;IFERROR(INDEX(Catalog!$K$5:$K$30,MATCH($B12,Catalog!$A$5:$A$30,0)),0),"BELOW MINIMUM",IF(IFERROR(INDEX(Catalog!$O$5:$O$30,MATCH($B12,Catalog!$A$5:$A$30,0)),"Conditional")="Standard","READY","VERIFY"))))</x:f>
      </x:c>
      <x:c r="U12" s="32" t="str">
        <x:f>IF($B12="","",IFERROR(INDEX(Catalog!$G$5:$G$30,MATCH($B12,Catalog!$A$5:$A$30,0)),"")&amp;" | "&amp;IFERROR(INDEX(Catalog!$Q$5:$Q$30,MATCH($B12,Catalog!$A$5:$A$30,0)),""))</x:f>
      </x:c>
    </x:row>
    <x:row r="13" ht="40" customHeight="1">
      <x:c r="A13" s="32" t="n">
        <x:v>9</x:v>
      </x:c>
      <x:c r="B13" s="46"/>
      <x:c r="C13" s="32" t="str">
        <x:f>IF($B13="","",IFERROR(INDEX(Catalog!$D$5:$D$30,MATCH($B13,Catalog!$A$5:$A$30,0)),"UNKNOWN ID"))</x:f>
      </x:c>
      <x:c r="D13" s="32" t="str">
        <x:f>IF($B13="","",IFERROR(INDEX(Catalog!$E$5:$E$30,MATCH($B13,Catalog!$A$5:$A$30,0)),""))</x:f>
      </x:c>
      <x:c r="E13" s="46"/>
      <x:c r="F13" s="46"/>
      <x:c r="G13" s="46"/>
      <x:c r="H13" s="49" t="str">
        <x:f>IF($B13="","",IF($G13&gt;0,$G13,IFERROR(INDEX(Catalog!$J$5:$J$30,MATCH($B13,Catalog!$A$5:$A$30,0)),0)))</x:f>
      </x:c>
      <x:c r="I13" s="47" t="str">
        <x:f>IF($B13="","",IFERROR(INDEX(Catalog!$H$5:$H$30,MATCH($B13,Catalog!$A$5:$A$30,0)),""))</x:f>
      </x:c>
      <x:c r="J13" s="50" t="str">
        <x:f>IF($B13="","",IF($I13="CAD",1,'Client Quote'!$B$11))</x:f>
      </x:c>
      <x:c r="K13" s="51" t="str">
        <x:f>IF($B13="","",ROUND($E13*$H13*$J13,2))</x:f>
      </x:c>
      <x:c r="L13" s="48" t="str">
        <x:f>IF($B13="","",IFERROR(INDEX(Catalog!$L$5:$L$30,MATCH($B13,Catalog!$A$5:$A$30,0)),""))</x:f>
      </x:c>
      <x:c r="M13" s="46"/>
      <x:c r="N13" s="48" t="str">
        <x:f>IF($B13="","",IF($M13&lt;&gt;"",$M13,IFERROR(INDEX(Catalog!$N$5:$N$30,MATCH($B13,Catalog!$A$5:$A$30,0)),"")))</x:f>
      </x:c>
      <x:c r="O13" s="52" t="n">
        <x:v>0</x:v>
      </x:c>
      <x:c r="P13" s="51" t="str">
        <x:f>IF($B13="","",ROUND(IFERROR(INDEX('Fee Schedule'!$B$7:$B$9,MATCH($N13,'Fee Schedule'!$A$7:$A$9,0)),0)+$F13*IFERROR(INDEX('Fee Schedule'!$C$7:$C$9,MATCH($N13,'Fee Schedule'!$A$7:$A$9,0)),0)+$O13,2))</x:f>
      </x:c>
      <x:c r="Q13" s="51" t="str">
        <x:f>IF($B13="","",ROUND(IFERROR(INDEX('Fee Schedule'!$D$7:$D$9,MATCH($N13,'Fee Schedule'!$A$7:$A$9,0)),0)+$F13*IFERROR(INDEX('Fee Schedule'!$E$7:$E$9,MATCH($N13,'Fee Schedule'!$A$7:$A$9,0)),0),2))</x:f>
      </x:c>
      <x:c r="R13" s="51" t="str">
        <x:f>IF($B13="","",$K13+$P13+$Q13)</x:f>
      </x:c>
      <x:c r="S13" s="51" t="str">
        <x:f>IF($B13="","",12*($K13+$Q13))</x:f>
      </x:c>
      <x:c r="T13" s="32" t="str">
        <x:f>IF($B13="","",IF(COUNTIF(Catalog!$A$5:$A$30,$B13)=0,"INVALID PRODUCT",IF($E13&lt;IFERROR(INDEX(Catalog!$K$5:$K$30,MATCH($B13,Catalog!$A$5:$A$30,0)),0),"BELOW MINIMUM",IF(IFERROR(INDEX(Catalog!$O$5:$O$30,MATCH($B13,Catalog!$A$5:$A$30,0)),"Conditional")="Standard","READY","VERIFY"))))</x:f>
      </x:c>
      <x:c r="U13" s="32" t="str">
        <x:f>IF($B13="","",IFERROR(INDEX(Catalog!$G$5:$G$30,MATCH($B13,Catalog!$A$5:$A$30,0)),"")&amp;" | "&amp;IFERROR(INDEX(Catalog!$Q$5:$Q$30,MATCH($B13,Catalog!$A$5:$A$30,0)),""))</x:f>
      </x:c>
    </x:row>
    <x:row r="14" ht="40" customHeight="1">
      <x:c r="A14" s="32" t="n">
        <x:v>10</x:v>
      </x:c>
      <x:c r="B14" s="46"/>
      <x:c r="C14" s="32" t="str">
        <x:f>IF($B14="","",IFERROR(INDEX(Catalog!$D$5:$D$30,MATCH($B14,Catalog!$A$5:$A$30,0)),"UNKNOWN ID"))</x:f>
      </x:c>
      <x:c r="D14" s="32" t="str">
        <x:f>IF($B14="","",IFERROR(INDEX(Catalog!$E$5:$E$30,MATCH($B14,Catalog!$A$5:$A$30,0)),""))</x:f>
      </x:c>
      <x:c r="E14" s="46"/>
      <x:c r="F14" s="46"/>
      <x:c r="G14" s="46"/>
      <x:c r="H14" s="49" t="str">
        <x:f>IF($B14="","",IF($G14&gt;0,$G14,IFERROR(INDEX(Catalog!$J$5:$J$30,MATCH($B14,Catalog!$A$5:$A$30,0)),0)))</x:f>
      </x:c>
      <x:c r="I14" s="47" t="str">
        <x:f>IF($B14="","",IFERROR(INDEX(Catalog!$H$5:$H$30,MATCH($B14,Catalog!$A$5:$A$30,0)),""))</x:f>
      </x:c>
      <x:c r="J14" s="50" t="str">
        <x:f>IF($B14="","",IF($I14="CAD",1,'Client Quote'!$B$11))</x:f>
      </x:c>
      <x:c r="K14" s="51" t="str">
        <x:f>IF($B14="","",ROUND($E14*$H14*$J14,2))</x:f>
      </x:c>
      <x:c r="L14" s="48" t="str">
        <x:f>IF($B14="","",IFERROR(INDEX(Catalog!$L$5:$L$30,MATCH($B14,Catalog!$A$5:$A$30,0)),""))</x:f>
      </x:c>
      <x:c r="M14" s="46"/>
      <x:c r="N14" s="48" t="str">
        <x:f>IF($B14="","",IF($M14&lt;&gt;"",$M14,IFERROR(INDEX(Catalog!$N$5:$N$30,MATCH($B14,Catalog!$A$5:$A$30,0)),"")))</x:f>
      </x:c>
      <x:c r="O14" s="52" t="n">
        <x:v>0</x:v>
      </x:c>
      <x:c r="P14" s="51" t="str">
        <x:f>IF($B14="","",ROUND(IFERROR(INDEX('Fee Schedule'!$B$7:$B$9,MATCH($N14,'Fee Schedule'!$A$7:$A$9,0)),0)+$F14*IFERROR(INDEX('Fee Schedule'!$C$7:$C$9,MATCH($N14,'Fee Schedule'!$A$7:$A$9,0)),0)+$O14,2))</x:f>
      </x:c>
      <x:c r="Q14" s="51" t="str">
        <x:f>IF($B14="","",ROUND(IFERROR(INDEX('Fee Schedule'!$D$7:$D$9,MATCH($N14,'Fee Schedule'!$A$7:$A$9,0)),0)+$F14*IFERROR(INDEX('Fee Schedule'!$E$7:$E$9,MATCH($N14,'Fee Schedule'!$A$7:$A$9,0)),0),2))</x:f>
      </x:c>
      <x:c r="R14" s="51" t="str">
        <x:f>IF($B14="","",$K14+$P14+$Q14)</x:f>
      </x:c>
      <x:c r="S14" s="51" t="str">
        <x:f>IF($B14="","",12*($K14+$Q14))</x:f>
      </x:c>
      <x:c r="T14" s="32" t="str">
        <x:f>IF($B14="","",IF(COUNTIF(Catalog!$A$5:$A$30,$B14)=0,"INVALID PRODUCT",IF($E14&lt;IFERROR(INDEX(Catalog!$K$5:$K$30,MATCH($B14,Catalog!$A$5:$A$30,0)),0),"BELOW MINIMUM",IF(IFERROR(INDEX(Catalog!$O$5:$O$30,MATCH($B14,Catalog!$A$5:$A$30,0)),"Conditional")="Standard","READY","VERIFY"))))</x:f>
      </x:c>
      <x:c r="U14" s="32" t="str">
        <x:f>IF($B14="","",IFERROR(INDEX(Catalog!$G$5:$G$30,MATCH($B14,Catalog!$A$5:$A$30,0)),"")&amp;" | "&amp;IFERROR(INDEX(Catalog!$Q$5:$Q$30,MATCH($B14,Catalog!$A$5:$A$30,0)),""))</x:f>
      </x:c>
    </x:row>
    <x:row r="15" ht="40" customHeight="1">
      <x:c r="A15" s="32" t="n">
        <x:v>11</x:v>
      </x:c>
      <x:c r="B15" s="46"/>
      <x:c r="C15" s="32" t="str">
        <x:f>IF($B15="","",IFERROR(INDEX(Catalog!$D$5:$D$30,MATCH($B15,Catalog!$A$5:$A$30,0)),"UNKNOWN ID"))</x:f>
      </x:c>
      <x:c r="D15" s="32" t="str">
        <x:f>IF($B15="","",IFERROR(INDEX(Catalog!$E$5:$E$30,MATCH($B15,Catalog!$A$5:$A$30,0)),""))</x:f>
      </x:c>
      <x:c r="E15" s="46"/>
      <x:c r="F15" s="46"/>
      <x:c r="G15" s="46"/>
      <x:c r="H15" s="49" t="str">
        <x:f>IF($B15="","",IF($G15&gt;0,$G15,IFERROR(INDEX(Catalog!$J$5:$J$30,MATCH($B15,Catalog!$A$5:$A$30,0)),0)))</x:f>
      </x:c>
      <x:c r="I15" s="47" t="str">
        <x:f>IF($B15="","",IFERROR(INDEX(Catalog!$H$5:$H$30,MATCH($B15,Catalog!$A$5:$A$30,0)),""))</x:f>
      </x:c>
      <x:c r="J15" s="50" t="str">
        <x:f>IF($B15="","",IF($I15="CAD",1,'Client Quote'!$B$11))</x:f>
      </x:c>
      <x:c r="K15" s="51" t="str">
        <x:f>IF($B15="","",ROUND($E15*$H15*$J15,2))</x:f>
      </x:c>
      <x:c r="L15" s="48" t="str">
        <x:f>IF($B15="","",IFERROR(INDEX(Catalog!$L$5:$L$30,MATCH($B15,Catalog!$A$5:$A$30,0)),""))</x:f>
      </x:c>
      <x:c r="M15" s="46"/>
      <x:c r="N15" s="48" t="str">
        <x:f>IF($B15="","",IF($M15&lt;&gt;"",$M15,IFERROR(INDEX(Catalog!$N$5:$N$30,MATCH($B15,Catalog!$A$5:$A$30,0)),"")))</x:f>
      </x:c>
      <x:c r="O15" s="52" t="n">
        <x:v>0</x:v>
      </x:c>
      <x:c r="P15" s="51" t="str">
        <x:f>IF($B15="","",ROUND(IFERROR(INDEX('Fee Schedule'!$B$7:$B$9,MATCH($N15,'Fee Schedule'!$A$7:$A$9,0)),0)+$F15*IFERROR(INDEX('Fee Schedule'!$C$7:$C$9,MATCH($N15,'Fee Schedule'!$A$7:$A$9,0)),0)+$O15,2))</x:f>
      </x:c>
      <x:c r="Q15" s="51" t="str">
        <x:f>IF($B15="","",ROUND(IFERROR(INDEX('Fee Schedule'!$D$7:$D$9,MATCH($N15,'Fee Schedule'!$A$7:$A$9,0)),0)+$F15*IFERROR(INDEX('Fee Schedule'!$E$7:$E$9,MATCH($N15,'Fee Schedule'!$A$7:$A$9,0)),0),2))</x:f>
      </x:c>
      <x:c r="R15" s="51" t="str">
        <x:f>IF($B15="","",$K15+$P15+$Q15)</x:f>
      </x:c>
      <x:c r="S15" s="51" t="str">
        <x:f>IF($B15="","",12*($K15+$Q15))</x:f>
      </x:c>
      <x:c r="T15" s="32" t="str">
        <x:f>IF($B15="","",IF(COUNTIF(Catalog!$A$5:$A$30,$B15)=0,"INVALID PRODUCT",IF($E15&lt;IFERROR(INDEX(Catalog!$K$5:$K$30,MATCH($B15,Catalog!$A$5:$A$30,0)),0),"BELOW MINIMUM",IF(IFERROR(INDEX(Catalog!$O$5:$O$30,MATCH($B15,Catalog!$A$5:$A$30,0)),"Conditional")="Standard","READY","VERIFY"))))</x:f>
      </x:c>
      <x:c r="U15" s="32" t="str">
        <x:f>IF($B15="","",IFERROR(INDEX(Catalog!$G$5:$G$30,MATCH($B15,Catalog!$A$5:$A$30,0)),"")&amp;" | "&amp;IFERROR(INDEX(Catalog!$Q$5:$Q$30,MATCH($B15,Catalog!$A$5:$A$30,0)),""))</x:f>
      </x:c>
    </x:row>
    <x:row r="16" ht="40" customHeight="1">
      <x:c r="A16" s="32" t="n">
        <x:v>12</x:v>
      </x:c>
      <x:c r="B16" s="46"/>
      <x:c r="C16" s="32" t="str">
        <x:f>IF($B16="","",IFERROR(INDEX(Catalog!$D$5:$D$30,MATCH($B16,Catalog!$A$5:$A$30,0)),"UNKNOWN ID"))</x:f>
      </x:c>
      <x:c r="D16" s="32" t="str">
        <x:f>IF($B16="","",IFERROR(INDEX(Catalog!$E$5:$E$30,MATCH($B16,Catalog!$A$5:$A$30,0)),""))</x:f>
      </x:c>
      <x:c r="E16" s="46"/>
      <x:c r="F16" s="46"/>
      <x:c r="G16" s="46"/>
      <x:c r="H16" s="49" t="str">
        <x:f>IF($B16="","",IF($G16&gt;0,$G16,IFERROR(INDEX(Catalog!$J$5:$J$30,MATCH($B16,Catalog!$A$5:$A$30,0)),0)))</x:f>
      </x:c>
      <x:c r="I16" s="47" t="str">
        <x:f>IF($B16="","",IFERROR(INDEX(Catalog!$H$5:$H$30,MATCH($B16,Catalog!$A$5:$A$30,0)),""))</x:f>
      </x:c>
      <x:c r="J16" s="50" t="str">
        <x:f>IF($B16="","",IF($I16="CAD",1,'Client Quote'!$B$11))</x:f>
      </x:c>
      <x:c r="K16" s="51" t="str">
        <x:f>IF($B16="","",ROUND($E16*$H16*$J16,2))</x:f>
      </x:c>
      <x:c r="L16" s="48" t="str">
        <x:f>IF($B16="","",IFERROR(INDEX(Catalog!$L$5:$L$30,MATCH($B16,Catalog!$A$5:$A$30,0)),""))</x:f>
      </x:c>
      <x:c r="M16" s="46"/>
      <x:c r="N16" s="48" t="str">
        <x:f>IF($B16="","",IF($M16&lt;&gt;"",$M16,IFERROR(INDEX(Catalog!$N$5:$N$30,MATCH($B16,Catalog!$A$5:$A$30,0)),"")))</x:f>
      </x:c>
      <x:c r="O16" s="52" t="n">
        <x:v>0</x:v>
      </x:c>
      <x:c r="P16" s="51" t="str">
        <x:f>IF($B16="","",ROUND(IFERROR(INDEX('Fee Schedule'!$B$7:$B$9,MATCH($N16,'Fee Schedule'!$A$7:$A$9,0)),0)+$F16*IFERROR(INDEX('Fee Schedule'!$C$7:$C$9,MATCH($N16,'Fee Schedule'!$A$7:$A$9,0)),0)+$O16,2))</x:f>
      </x:c>
      <x:c r="Q16" s="51" t="str">
        <x:f>IF($B16="","",ROUND(IFERROR(INDEX('Fee Schedule'!$D$7:$D$9,MATCH($N16,'Fee Schedule'!$A$7:$A$9,0)),0)+$F16*IFERROR(INDEX('Fee Schedule'!$E$7:$E$9,MATCH($N16,'Fee Schedule'!$A$7:$A$9,0)),0),2))</x:f>
      </x:c>
      <x:c r="R16" s="51" t="str">
        <x:f>IF($B16="","",$K16+$P16+$Q16)</x:f>
      </x:c>
      <x:c r="S16" s="51" t="str">
        <x:f>IF($B16="","",12*($K16+$Q16))</x:f>
      </x:c>
      <x:c r="T16" s="32" t="str">
        <x:f>IF($B16="","",IF(COUNTIF(Catalog!$A$5:$A$30,$B16)=0,"INVALID PRODUCT",IF($E16&lt;IFERROR(INDEX(Catalog!$K$5:$K$30,MATCH($B16,Catalog!$A$5:$A$30,0)),0),"BELOW MINIMUM",IF(IFERROR(INDEX(Catalog!$O$5:$O$30,MATCH($B16,Catalog!$A$5:$A$30,0)),"Conditional")="Standard","READY","VERIFY"))))</x:f>
      </x:c>
      <x:c r="U16" s="32" t="str">
        <x:f>IF($B16="","",IFERROR(INDEX(Catalog!$G$5:$G$30,MATCH($B16,Catalog!$A$5:$A$30,0)),"")&amp;" | "&amp;IFERROR(INDEX(Catalog!$Q$5:$Q$30,MATCH($B16,Catalog!$A$5:$A$30,0)),""))</x:f>
      </x:c>
    </x:row>
    <x:row r="17" ht="40" customHeight="1">
      <x:c r="A17" s="32" t="n">
        <x:v>13</x:v>
      </x:c>
      <x:c r="B17" s="46"/>
      <x:c r="C17" s="32" t="str">
        <x:f>IF($B17="","",IFERROR(INDEX(Catalog!$D$5:$D$30,MATCH($B17,Catalog!$A$5:$A$30,0)),"UNKNOWN ID"))</x:f>
      </x:c>
      <x:c r="D17" s="32" t="str">
        <x:f>IF($B17="","",IFERROR(INDEX(Catalog!$E$5:$E$30,MATCH($B17,Catalog!$A$5:$A$30,0)),""))</x:f>
      </x:c>
      <x:c r="E17" s="46"/>
      <x:c r="F17" s="46"/>
      <x:c r="G17" s="46"/>
      <x:c r="H17" s="49" t="str">
        <x:f>IF($B17="","",IF($G17&gt;0,$G17,IFERROR(INDEX(Catalog!$J$5:$J$30,MATCH($B17,Catalog!$A$5:$A$30,0)),0)))</x:f>
      </x:c>
      <x:c r="I17" s="47" t="str">
        <x:f>IF($B17="","",IFERROR(INDEX(Catalog!$H$5:$H$30,MATCH($B17,Catalog!$A$5:$A$30,0)),""))</x:f>
      </x:c>
      <x:c r="J17" s="50" t="str">
        <x:f>IF($B17="","",IF($I17="CAD",1,'Client Quote'!$B$11))</x:f>
      </x:c>
      <x:c r="K17" s="51" t="str">
        <x:f>IF($B17="","",ROUND($E17*$H17*$J17,2))</x:f>
      </x:c>
      <x:c r="L17" s="48" t="str">
        <x:f>IF($B17="","",IFERROR(INDEX(Catalog!$L$5:$L$30,MATCH($B17,Catalog!$A$5:$A$30,0)),""))</x:f>
      </x:c>
      <x:c r="M17" s="46"/>
      <x:c r="N17" s="48" t="str">
        <x:f>IF($B17="","",IF($M17&lt;&gt;"",$M17,IFERROR(INDEX(Catalog!$N$5:$N$30,MATCH($B17,Catalog!$A$5:$A$30,0)),"")))</x:f>
      </x:c>
      <x:c r="O17" s="52" t="n">
        <x:v>0</x:v>
      </x:c>
      <x:c r="P17" s="51" t="str">
        <x:f>IF($B17="","",ROUND(IFERROR(INDEX('Fee Schedule'!$B$7:$B$9,MATCH($N17,'Fee Schedule'!$A$7:$A$9,0)),0)+$F17*IFERROR(INDEX('Fee Schedule'!$C$7:$C$9,MATCH($N17,'Fee Schedule'!$A$7:$A$9,0)),0)+$O17,2))</x:f>
      </x:c>
      <x:c r="Q17" s="51" t="str">
        <x:f>IF($B17="","",ROUND(IFERROR(INDEX('Fee Schedule'!$D$7:$D$9,MATCH($N17,'Fee Schedule'!$A$7:$A$9,0)),0)+$F17*IFERROR(INDEX('Fee Schedule'!$E$7:$E$9,MATCH($N17,'Fee Schedule'!$A$7:$A$9,0)),0),2))</x:f>
      </x:c>
      <x:c r="R17" s="51" t="str">
        <x:f>IF($B17="","",$K17+$P17+$Q17)</x:f>
      </x:c>
      <x:c r="S17" s="51" t="str">
        <x:f>IF($B17="","",12*($K17+$Q17))</x:f>
      </x:c>
      <x:c r="T17" s="32" t="str">
        <x:f>IF($B17="","",IF(COUNTIF(Catalog!$A$5:$A$30,$B17)=0,"INVALID PRODUCT",IF($E17&lt;IFERROR(INDEX(Catalog!$K$5:$K$30,MATCH($B17,Catalog!$A$5:$A$30,0)),0),"BELOW MINIMUM",IF(IFERROR(INDEX(Catalog!$O$5:$O$30,MATCH($B17,Catalog!$A$5:$A$30,0)),"Conditional")="Standard","READY","VERIFY"))))</x:f>
      </x:c>
      <x:c r="U17" s="32" t="str">
        <x:f>IF($B17="","",IFERROR(INDEX(Catalog!$G$5:$G$30,MATCH($B17,Catalog!$A$5:$A$30,0)),"")&amp;" | "&amp;IFERROR(INDEX(Catalog!$Q$5:$Q$30,MATCH($B17,Catalog!$A$5:$A$30,0)),""))</x:f>
      </x:c>
    </x:row>
    <x:row r="18" ht="40" customHeight="1">
      <x:c r="A18" s="32" t="n">
        <x:v>14</x:v>
      </x:c>
      <x:c r="B18" s="46"/>
      <x:c r="C18" s="32" t="str">
        <x:f>IF($B18="","",IFERROR(INDEX(Catalog!$D$5:$D$30,MATCH($B18,Catalog!$A$5:$A$30,0)),"UNKNOWN ID"))</x:f>
      </x:c>
      <x:c r="D18" s="32" t="str">
        <x:f>IF($B18="","",IFERROR(INDEX(Catalog!$E$5:$E$30,MATCH($B18,Catalog!$A$5:$A$30,0)),""))</x:f>
      </x:c>
      <x:c r="E18" s="46"/>
      <x:c r="F18" s="46"/>
      <x:c r="G18" s="46"/>
      <x:c r="H18" s="49" t="str">
        <x:f>IF($B18="","",IF($G18&gt;0,$G18,IFERROR(INDEX(Catalog!$J$5:$J$30,MATCH($B18,Catalog!$A$5:$A$30,0)),0)))</x:f>
      </x:c>
      <x:c r="I18" s="47" t="str">
        <x:f>IF($B18="","",IFERROR(INDEX(Catalog!$H$5:$H$30,MATCH($B18,Catalog!$A$5:$A$30,0)),""))</x:f>
      </x:c>
      <x:c r="J18" s="50" t="str">
        <x:f>IF($B18="","",IF($I18="CAD",1,'Client Quote'!$B$11))</x:f>
      </x:c>
      <x:c r="K18" s="51" t="str">
        <x:f>IF($B18="","",ROUND($E18*$H18*$J18,2))</x:f>
      </x:c>
      <x:c r="L18" s="48" t="str">
        <x:f>IF($B18="","",IFERROR(INDEX(Catalog!$L$5:$L$30,MATCH($B18,Catalog!$A$5:$A$30,0)),""))</x:f>
      </x:c>
      <x:c r="M18" s="46"/>
      <x:c r="N18" s="48" t="str">
        <x:f>IF($B18="","",IF($M18&lt;&gt;"",$M18,IFERROR(INDEX(Catalog!$N$5:$N$30,MATCH($B18,Catalog!$A$5:$A$30,0)),"")))</x:f>
      </x:c>
      <x:c r="O18" s="52" t="n">
        <x:v>0</x:v>
      </x:c>
      <x:c r="P18" s="51" t="str">
        <x:f>IF($B18="","",ROUND(IFERROR(INDEX('Fee Schedule'!$B$7:$B$9,MATCH($N18,'Fee Schedule'!$A$7:$A$9,0)),0)+$F18*IFERROR(INDEX('Fee Schedule'!$C$7:$C$9,MATCH($N18,'Fee Schedule'!$A$7:$A$9,0)),0)+$O18,2))</x:f>
      </x:c>
      <x:c r="Q18" s="51" t="str">
        <x:f>IF($B18="","",ROUND(IFERROR(INDEX('Fee Schedule'!$D$7:$D$9,MATCH($N18,'Fee Schedule'!$A$7:$A$9,0)),0)+$F18*IFERROR(INDEX('Fee Schedule'!$E$7:$E$9,MATCH($N18,'Fee Schedule'!$A$7:$A$9,0)),0),2))</x:f>
      </x:c>
      <x:c r="R18" s="51" t="str">
        <x:f>IF($B18="","",$K18+$P18+$Q18)</x:f>
      </x:c>
      <x:c r="S18" s="51" t="str">
        <x:f>IF($B18="","",12*($K18+$Q18))</x:f>
      </x:c>
      <x:c r="T18" s="32" t="str">
        <x:f>IF($B18="","",IF(COUNTIF(Catalog!$A$5:$A$30,$B18)=0,"INVALID PRODUCT",IF($E18&lt;IFERROR(INDEX(Catalog!$K$5:$K$30,MATCH($B18,Catalog!$A$5:$A$30,0)),0),"BELOW MINIMUM",IF(IFERROR(INDEX(Catalog!$O$5:$O$30,MATCH($B18,Catalog!$A$5:$A$30,0)),"Conditional")="Standard","READY","VERIFY"))))</x:f>
      </x:c>
      <x:c r="U18" s="32" t="str">
        <x:f>IF($B18="","",IFERROR(INDEX(Catalog!$G$5:$G$30,MATCH($B18,Catalog!$A$5:$A$30,0)),"")&amp;" | "&amp;IFERROR(INDEX(Catalog!$Q$5:$Q$30,MATCH($B18,Catalog!$A$5:$A$30,0)),""))</x:f>
      </x:c>
    </x:row>
    <x:row r="19" ht="40" customHeight="1">
      <x:c r="A19" s="32" t="n">
        <x:v>15</x:v>
      </x:c>
      <x:c r="B19" s="46"/>
      <x:c r="C19" s="32" t="str">
        <x:f>IF($B19="","",IFERROR(INDEX(Catalog!$D$5:$D$30,MATCH($B19,Catalog!$A$5:$A$30,0)),"UNKNOWN ID"))</x:f>
      </x:c>
      <x:c r="D19" s="32" t="str">
        <x:f>IF($B19="","",IFERROR(INDEX(Catalog!$E$5:$E$30,MATCH($B19,Catalog!$A$5:$A$30,0)),""))</x:f>
      </x:c>
      <x:c r="E19" s="46"/>
      <x:c r="F19" s="46"/>
      <x:c r="G19" s="46"/>
      <x:c r="H19" s="49" t="str">
        <x:f>IF($B19="","",IF($G19&gt;0,$G19,IFERROR(INDEX(Catalog!$J$5:$J$30,MATCH($B19,Catalog!$A$5:$A$30,0)),0)))</x:f>
      </x:c>
      <x:c r="I19" s="47" t="str">
        <x:f>IF($B19="","",IFERROR(INDEX(Catalog!$H$5:$H$30,MATCH($B19,Catalog!$A$5:$A$30,0)),""))</x:f>
      </x:c>
      <x:c r="J19" s="50" t="str">
        <x:f>IF($B19="","",IF($I19="CAD",1,'Client Quote'!$B$11))</x:f>
      </x:c>
      <x:c r="K19" s="51" t="str">
        <x:f>IF($B19="","",ROUND($E19*$H19*$J19,2))</x:f>
      </x:c>
      <x:c r="L19" s="48" t="str">
        <x:f>IF($B19="","",IFERROR(INDEX(Catalog!$L$5:$L$30,MATCH($B19,Catalog!$A$5:$A$30,0)),""))</x:f>
      </x:c>
      <x:c r="M19" s="46"/>
      <x:c r="N19" s="48" t="str">
        <x:f>IF($B19="","",IF($M19&lt;&gt;"",$M19,IFERROR(INDEX(Catalog!$N$5:$N$30,MATCH($B19,Catalog!$A$5:$A$30,0)),"")))</x:f>
      </x:c>
      <x:c r="O19" s="52" t="n">
        <x:v>0</x:v>
      </x:c>
      <x:c r="P19" s="51" t="str">
        <x:f>IF($B19="","",ROUND(IFERROR(INDEX('Fee Schedule'!$B$7:$B$9,MATCH($N19,'Fee Schedule'!$A$7:$A$9,0)),0)+$F19*IFERROR(INDEX('Fee Schedule'!$C$7:$C$9,MATCH($N19,'Fee Schedule'!$A$7:$A$9,0)),0)+$O19,2))</x:f>
      </x:c>
      <x:c r="Q19" s="51" t="str">
        <x:f>IF($B19="","",ROUND(IFERROR(INDEX('Fee Schedule'!$D$7:$D$9,MATCH($N19,'Fee Schedule'!$A$7:$A$9,0)),0)+$F19*IFERROR(INDEX('Fee Schedule'!$E$7:$E$9,MATCH($N19,'Fee Schedule'!$A$7:$A$9,0)),0),2))</x:f>
      </x:c>
      <x:c r="R19" s="51" t="str">
        <x:f>IF($B19="","",$K19+$P19+$Q19)</x:f>
      </x:c>
      <x:c r="S19" s="51" t="str">
        <x:f>IF($B19="","",12*($K19+$Q19))</x:f>
      </x:c>
      <x:c r="T19" s="32" t="str">
        <x:f>IF($B19="","",IF(COUNTIF(Catalog!$A$5:$A$30,$B19)=0,"INVALID PRODUCT",IF($E19&lt;IFERROR(INDEX(Catalog!$K$5:$K$30,MATCH($B19,Catalog!$A$5:$A$30,0)),0),"BELOW MINIMUM",IF(IFERROR(INDEX(Catalog!$O$5:$O$30,MATCH($B19,Catalog!$A$5:$A$30,0)),"Conditional")="Standard","READY","VERIFY"))))</x:f>
      </x:c>
      <x:c r="U19" s="32" t="str">
        <x:f>IF($B19="","",IFERROR(INDEX(Catalog!$G$5:$G$30,MATCH($B19,Catalog!$A$5:$A$30,0)),"")&amp;" | "&amp;IFERROR(INDEX(Catalog!$Q$5:$Q$30,MATCH($B19,Catalog!$A$5:$A$30,0)),""))</x:f>
      </x:c>
    </x:row>
    <x:row r="20" ht="40" customHeight="1">
      <x:c r="A20" s="32" t="n">
        <x:v>16</x:v>
      </x:c>
      <x:c r="B20" s="46"/>
      <x:c r="C20" s="32" t="str">
        <x:f>IF($B20="","",IFERROR(INDEX(Catalog!$D$5:$D$30,MATCH($B20,Catalog!$A$5:$A$30,0)),"UNKNOWN ID"))</x:f>
      </x:c>
      <x:c r="D20" s="32" t="str">
        <x:f>IF($B20="","",IFERROR(INDEX(Catalog!$E$5:$E$30,MATCH($B20,Catalog!$A$5:$A$30,0)),""))</x:f>
      </x:c>
      <x:c r="E20" s="46"/>
      <x:c r="F20" s="46"/>
      <x:c r="G20" s="46"/>
      <x:c r="H20" s="49" t="str">
        <x:f>IF($B20="","",IF($G20&gt;0,$G20,IFERROR(INDEX(Catalog!$J$5:$J$30,MATCH($B20,Catalog!$A$5:$A$30,0)),0)))</x:f>
      </x:c>
      <x:c r="I20" s="47" t="str">
        <x:f>IF($B20="","",IFERROR(INDEX(Catalog!$H$5:$H$30,MATCH($B20,Catalog!$A$5:$A$30,0)),""))</x:f>
      </x:c>
      <x:c r="J20" s="50" t="str">
        <x:f>IF($B20="","",IF($I20="CAD",1,'Client Quote'!$B$11))</x:f>
      </x:c>
      <x:c r="K20" s="51" t="str">
        <x:f>IF($B20="","",ROUND($E20*$H20*$J20,2))</x:f>
      </x:c>
      <x:c r="L20" s="48" t="str">
        <x:f>IF($B20="","",IFERROR(INDEX(Catalog!$L$5:$L$30,MATCH($B20,Catalog!$A$5:$A$30,0)),""))</x:f>
      </x:c>
      <x:c r="M20" s="46"/>
      <x:c r="N20" s="48" t="str">
        <x:f>IF($B20="","",IF($M20&lt;&gt;"",$M20,IFERROR(INDEX(Catalog!$N$5:$N$30,MATCH($B20,Catalog!$A$5:$A$30,0)),"")))</x:f>
      </x:c>
      <x:c r="O20" s="52" t="n">
        <x:v>0</x:v>
      </x:c>
      <x:c r="P20" s="51" t="str">
        <x:f>IF($B20="","",ROUND(IFERROR(INDEX('Fee Schedule'!$B$7:$B$9,MATCH($N20,'Fee Schedule'!$A$7:$A$9,0)),0)+$F20*IFERROR(INDEX('Fee Schedule'!$C$7:$C$9,MATCH($N20,'Fee Schedule'!$A$7:$A$9,0)),0)+$O20,2))</x:f>
      </x:c>
      <x:c r="Q20" s="51" t="str">
        <x:f>IF($B20="","",ROUND(IFERROR(INDEX('Fee Schedule'!$D$7:$D$9,MATCH($N20,'Fee Schedule'!$A$7:$A$9,0)),0)+$F20*IFERROR(INDEX('Fee Schedule'!$E$7:$E$9,MATCH($N20,'Fee Schedule'!$A$7:$A$9,0)),0),2))</x:f>
      </x:c>
      <x:c r="R20" s="51" t="str">
        <x:f>IF($B20="","",$K20+$P20+$Q20)</x:f>
      </x:c>
      <x:c r="S20" s="51" t="str">
        <x:f>IF($B20="","",12*($K20+$Q20))</x:f>
      </x:c>
      <x:c r="T20" s="32" t="str">
        <x:f>IF($B20="","",IF(COUNTIF(Catalog!$A$5:$A$30,$B20)=0,"INVALID PRODUCT",IF($E20&lt;IFERROR(INDEX(Catalog!$K$5:$K$30,MATCH($B20,Catalog!$A$5:$A$30,0)),0),"BELOW MINIMUM",IF(IFERROR(INDEX(Catalog!$O$5:$O$30,MATCH($B20,Catalog!$A$5:$A$30,0)),"Conditional")="Standard","READY","VERIFY"))))</x:f>
      </x:c>
      <x:c r="U20" s="32" t="str">
        <x:f>IF($B20="","",IFERROR(INDEX(Catalog!$G$5:$G$30,MATCH($B20,Catalog!$A$5:$A$30,0)),"")&amp;" | "&amp;IFERROR(INDEX(Catalog!$Q$5:$Q$30,MATCH($B20,Catalog!$A$5:$A$30,0)),""))</x:f>
      </x:c>
    </x:row>
    <x:row r="21" ht="40" customHeight="1">
      <x:c r="A21" s="32" t="n">
        <x:v>17</x:v>
      </x:c>
      <x:c r="B21" s="46"/>
      <x:c r="C21" s="32" t="str">
        <x:f>IF($B21="","",IFERROR(INDEX(Catalog!$D$5:$D$30,MATCH($B21,Catalog!$A$5:$A$30,0)),"UNKNOWN ID"))</x:f>
      </x:c>
      <x:c r="D21" s="32" t="str">
        <x:f>IF($B21="","",IFERROR(INDEX(Catalog!$E$5:$E$30,MATCH($B21,Catalog!$A$5:$A$30,0)),""))</x:f>
      </x:c>
      <x:c r="E21" s="46"/>
      <x:c r="F21" s="46"/>
      <x:c r="G21" s="46"/>
      <x:c r="H21" s="49" t="str">
        <x:f>IF($B21="","",IF($G21&gt;0,$G21,IFERROR(INDEX(Catalog!$J$5:$J$30,MATCH($B21,Catalog!$A$5:$A$30,0)),0)))</x:f>
      </x:c>
      <x:c r="I21" s="47" t="str">
        <x:f>IF($B21="","",IFERROR(INDEX(Catalog!$H$5:$H$30,MATCH($B21,Catalog!$A$5:$A$30,0)),""))</x:f>
      </x:c>
      <x:c r="J21" s="50" t="str">
        <x:f>IF($B21="","",IF($I21="CAD",1,'Client Quote'!$B$11))</x:f>
      </x:c>
      <x:c r="K21" s="51" t="str">
        <x:f>IF($B21="","",ROUND($E21*$H21*$J21,2))</x:f>
      </x:c>
      <x:c r="L21" s="48" t="str">
        <x:f>IF($B21="","",IFERROR(INDEX(Catalog!$L$5:$L$30,MATCH($B21,Catalog!$A$5:$A$30,0)),""))</x:f>
      </x:c>
      <x:c r="M21" s="46"/>
      <x:c r="N21" s="48" t="str">
        <x:f>IF($B21="","",IF($M21&lt;&gt;"",$M21,IFERROR(INDEX(Catalog!$N$5:$N$30,MATCH($B21,Catalog!$A$5:$A$30,0)),"")))</x:f>
      </x:c>
      <x:c r="O21" s="52" t="n">
        <x:v>0</x:v>
      </x:c>
      <x:c r="P21" s="51" t="str">
        <x:f>IF($B21="","",ROUND(IFERROR(INDEX('Fee Schedule'!$B$7:$B$9,MATCH($N21,'Fee Schedule'!$A$7:$A$9,0)),0)+$F21*IFERROR(INDEX('Fee Schedule'!$C$7:$C$9,MATCH($N21,'Fee Schedule'!$A$7:$A$9,0)),0)+$O21,2))</x:f>
      </x:c>
      <x:c r="Q21" s="51" t="str">
        <x:f>IF($B21="","",ROUND(IFERROR(INDEX('Fee Schedule'!$D$7:$D$9,MATCH($N21,'Fee Schedule'!$A$7:$A$9,0)),0)+$F21*IFERROR(INDEX('Fee Schedule'!$E$7:$E$9,MATCH($N21,'Fee Schedule'!$A$7:$A$9,0)),0),2))</x:f>
      </x:c>
      <x:c r="R21" s="51" t="str">
        <x:f>IF($B21="","",$K21+$P21+$Q21)</x:f>
      </x:c>
      <x:c r="S21" s="51" t="str">
        <x:f>IF($B21="","",12*($K21+$Q21))</x:f>
      </x:c>
      <x:c r="T21" s="32" t="str">
        <x:f>IF($B21="","",IF(COUNTIF(Catalog!$A$5:$A$30,$B21)=0,"INVALID PRODUCT",IF($E21&lt;IFERROR(INDEX(Catalog!$K$5:$K$30,MATCH($B21,Catalog!$A$5:$A$30,0)),0),"BELOW MINIMUM",IF(IFERROR(INDEX(Catalog!$O$5:$O$30,MATCH($B21,Catalog!$A$5:$A$30,0)),"Conditional")="Standard","READY","VERIFY"))))</x:f>
      </x:c>
      <x:c r="U21" s="32" t="str">
        <x:f>IF($B21="","",IFERROR(INDEX(Catalog!$G$5:$G$30,MATCH($B21,Catalog!$A$5:$A$30,0)),"")&amp;" | "&amp;IFERROR(INDEX(Catalog!$Q$5:$Q$30,MATCH($B21,Catalog!$A$5:$A$30,0)),""))</x:f>
      </x:c>
    </x:row>
    <x:row r="22" ht="40" customHeight="1">
      <x:c r="A22" s="32" t="n">
        <x:v>18</x:v>
      </x:c>
      <x:c r="B22" s="46"/>
      <x:c r="C22" s="32" t="str">
        <x:f>IF($B22="","",IFERROR(INDEX(Catalog!$D$5:$D$30,MATCH($B22,Catalog!$A$5:$A$30,0)),"UNKNOWN ID"))</x:f>
      </x:c>
      <x:c r="D22" s="32" t="str">
        <x:f>IF($B22="","",IFERROR(INDEX(Catalog!$E$5:$E$30,MATCH($B22,Catalog!$A$5:$A$30,0)),""))</x:f>
      </x:c>
      <x:c r="E22" s="46"/>
      <x:c r="F22" s="46"/>
      <x:c r="G22" s="46"/>
      <x:c r="H22" s="49" t="str">
        <x:f>IF($B22="","",IF($G22&gt;0,$G22,IFERROR(INDEX(Catalog!$J$5:$J$30,MATCH($B22,Catalog!$A$5:$A$30,0)),0)))</x:f>
      </x:c>
      <x:c r="I22" s="47" t="str">
        <x:f>IF($B22="","",IFERROR(INDEX(Catalog!$H$5:$H$30,MATCH($B22,Catalog!$A$5:$A$30,0)),""))</x:f>
      </x:c>
      <x:c r="J22" s="50" t="str">
        <x:f>IF($B22="","",IF($I22="CAD",1,'Client Quote'!$B$11))</x:f>
      </x:c>
      <x:c r="K22" s="51" t="str">
        <x:f>IF($B22="","",ROUND($E22*$H22*$J22,2))</x:f>
      </x:c>
      <x:c r="L22" s="48" t="str">
        <x:f>IF($B22="","",IFERROR(INDEX(Catalog!$L$5:$L$30,MATCH($B22,Catalog!$A$5:$A$30,0)),""))</x:f>
      </x:c>
      <x:c r="M22" s="46"/>
      <x:c r="N22" s="48" t="str">
        <x:f>IF($B22="","",IF($M22&lt;&gt;"",$M22,IFERROR(INDEX(Catalog!$N$5:$N$30,MATCH($B22,Catalog!$A$5:$A$30,0)),"")))</x:f>
      </x:c>
      <x:c r="O22" s="52" t="n">
        <x:v>0</x:v>
      </x:c>
      <x:c r="P22" s="51" t="str">
        <x:f>IF($B22="","",ROUND(IFERROR(INDEX('Fee Schedule'!$B$7:$B$9,MATCH($N22,'Fee Schedule'!$A$7:$A$9,0)),0)+$F22*IFERROR(INDEX('Fee Schedule'!$C$7:$C$9,MATCH($N22,'Fee Schedule'!$A$7:$A$9,0)),0)+$O22,2))</x:f>
      </x:c>
      <x:c r="Q22" s="51" t="str">
        <x:f>IF($B22="","",ROUND(IFERROR(INDEX('Fee Schedule'!$D$7:$D$9,MATCH($N22,'Fee Schedule'!$A$7:$A$9,0)),0)+$F22*IFERROR(INDEX('Fee Schedule'!$E$7:$E$9,MATCH($N22,'Fee Schedule'!$A$7:$A$9,0)),0),2))</x:f>
      </x:c>
      <x:c r="R22" s="51" t="str">
        <x:f>IF($B22="","",$K22+$P22+$Q22)</x:f>
      </x:c>
      <x:c r="S22" s="51" t="str">
        <x:f>IF($B22="","",12*($K22+$Q22))</x:f>
      </x:c>
      <x:c r="T22" s="32" t="str">
        <x:f>IF($B22="","",IF(COUNTIF(Catalog!$A$5:$A$30,$B22)=0,"INVALID PRODUCT",IF($E22&lt;IFERROR(INDEX(Catalog!$K$5:$K$30,MATCH($B22,Catalog!$A$5:$A$30,0)),0),"BELOW MINIMUM",IF(IFERROR(INDEX(Catalog!$O$5:$O$30,MATCH($B22,Catalog!$A$5:$A$30,0)),"Conditional")="Standard","READY","VERIFY"))))</x:f>
      </x:c>
      <x:c r="U22" s="32" t="str">
        <x:f>IF($B22="","",IFERROR(INDEX(Catalog!$G$5:$G$30,MATCH($B22,Catalog!$A$5:$A$30,0)),"")&amp;" | "&amp;IFERROR(INDEX(Catalog!$Q$5:$Q$30,MATCH($B22,Catalog!$A$5:$A$30,0)),""))</x:f>
      </x:c>
    </x:row>
    <x:row r="23" ht="40" customHeight="1">
      <x:c r="A23" s="32" t="n">
        <x:v>19</x:v>
      </x:c>
      <x:c r="B23" s="46"/>
      <x:c r="C23" s="32" t="str">
        <x:f>IF($B23="","",IFERROR(INDEX(Catalog!$D$5:$D$30,MATCH($B23,Catalog!$A$5:$A$30,0)),"UNKNOWN ID"))</x:f>
      </x:c>
      <x:c r="D23" s="32" t="str">
        <x:f>IF($B23="","",IFERROR(INDEX(Catalog!$E$5:$E$30,MATCH($B23,Catalog!$A$5:$A$30,0)),""))</x:f>
      </x:c>
      <x:c r="E23" s="46"/>
      <x:c r="F23" s="46"/>
      <x:c r="G23" s="46"/>
      <x:c r="H23" s="49" t="str">
        <x:f>IF($B23="","",IF($G23&gt;0,$G23,IFERROR(INDEX(Catalog!$J$5:$J$30,MATCH($B23,Catalog!$A$5:$A$30,0)),0)))</x:f>
      </x:c>
      <x:c r="I23" s="47" t="str">
        <x:f>IF($B23="","",IFERROR(INDEX(Catalog!$H$5:$H$30,MATCH($B23,Catalog!$A$5:$A$30,0)),""))</x:f>
      </x:c>
      <x:c r="J23" s="50" t="str">
        <x:f>IF($B23="","",IF($I23="CAD",1,'Client Quote'!$B$11))</x:f>
      </x:c>
      <x:c r="K23" s="51" t="str">
        <x:f>IF($B23="","",ROUND($E23*$H23*$J23,2))</x:f>
      </x:c>
      <x:c r="L23" s="48" t="str">
        <x:f>IF($B23="","",IFERROR(INDEX(Catalog!$L$5:$L$30,MATCH($B23,Catalog!$A$5:$A$30,0)),""))</x:f>
      </x:c>
      <x:c r="M23" s="46"/>
      <x:c r="N23" s="48" t="str">
        <x:f>IF($B23="","",IF($M23&lt;&gt;"",$M23,IFERROR(INDEX(Catalog!$N$5:$N$30,MATCH($B23,Catalog!$A$5:$A$30,0)),"")))</x:f>
      </x:c>
      <x:c r="O23" s="52" t="n">
        <x:v>0</x:v>
      </x:c>
      <x:c r="P23" s="51" t="str">
        <x:f>IF($B23="","",ROUND(IFERROR(INDEX('Fee Schedule'!$B$7:$B$9,MATCH($N23,'Fee Schedule'!$A$7:$A$9,0)),0)+$F23*IFERROR(INDEX('Fee Schedule'!$C$7:$C$9,MATCH($N23,'Fee Schedule'!$A$7:$A$9,0)),0)+$O23,2))</x:f>
      </x:c>
      <x:c r="Q23" s="51" t="str">
        <x:f>IF($B23="","",ROUND(IFERROR(INDEX('Fee Schedule'!$D$7:$D$9,MATCH($N23,'Fee Schedule'!$A$7:$A$9,0)),0)+$F23*IFERROR(INDEX('Fee Schedule'!$E$7:$E$9,MATCH($N23,'Fee Schedule'!$A$7:$A$9,0)),0),2))</x:f>
      </x:c>
      <x:c r="R23" s="51" t="str">
        <x:f>IF($B23="","",$K23+$P23+$Q23)</x:f>
      </x:c>
      <x:c r="S23" s="51" t="str">
        <x:f>IF($B23="","",12*($K23+$Q23))</x:f>
      </x:c>
      <x:c r="T23" s="32" t="str">
        <x:f>IF($B23="","",IF(COUNTIF(Catalog!$A$5:$A$30,$B23)=0,"INVALID PRODUCT",IF($E23&lt;IFERROR(INDEX(Catalog!$K$5:$K$30,MATCH($B23,Catalog!$A$5:$A$30,0)),0),"BELOW MINIMUM",IF(IFERROR(INDEX(Catalog!$O$5:$O$30,MATCH($B23,Catalog!$A$5:$A$30,0)),"Conditional")="Standard","READY","VERIFY"))))</x:f>
      </x:c>
      <x:c r="U23" s="32" t="str">
        <x:f>IF($B23="","",IFERROR(INDEX(Catalog!$G$5:$G$30,MATCH($B23,Catalog!$A$5:$A$30,0)),"")&amp;" | "&amp;IFERROR(INDEX(Catalog!$Q$5:$Q$30,MATCH($B23,Catalog!$A$5:$A$30,0)),""))</x:f>
      </x:c>
    </x:row>
    <x:row r="24" ht="40" customHeight="1">
      <x:c r="A24" s="32" t="n">
        <x:v>20</x:v>
      </x:c>
      <x:c r="B24" s="46"/>
      <x:c r="C24" s="32" t="str">
        <x:f>IF($B24="","",IFERROR(INDEX(Catalog!$D$5:$D$30,MATCH($B24,Catalog!$A$5:$A$30,0)),"UNKNOWN ID"))</x:f>
      </x:c>
      <x:c r="D24" s="32" t="str">
        <x:f>IF($B24="","",IFERROR(INDEX(Catalog!$E$5:$E$30,MATCH($B24,Catalog!$A$5:$A$30,0)),""))</x:f>
      </x:c>
      <x:c r="E24" s="46"/>
      <x:c r="F24" s="46"/>
      <x:c r="G24" s="46"/>
      <x:c r="H24" s="49" t="str">
        <x:f>IF($B24="","",IF($G24&gt;0,$G24,IFERROR(INDEX(Catalog!$J$5:$J$30,MATCH($B24,Catalog!$A$5:$A$30,0)),0)))</x:f>
      </x:c>
      <x:c r="I24" s="47" t="str">
        <x:f>IF($B24="","",IFERROR(INDEX(Catalog!$H$5:$H$30,MATCH($B24,Catalog!$A$5:$A$30,0)),""))</x:f>
      </x:c>
      <x:c r="J24" s="50" t="str">
        <x:f>IF($B24="","",IF($I24="CAD",1,'Client Quote'!$B$11))</x:f>
      </x:c>
      <x:c r="K24" s="51" t="str">
        <x:f>IF($B24="","",ROUND($E24*$H24*$J24,2))</x:f>
      </x:c>
      <x:c r="L24" s="48" t="str">
        <x:f>IF($B24="","",IFERROR(INDEX(Catalog!$L$5:$L$30,MATCH($B24,Catalog!$A$5:$A$30,0)),""))</x:f>
      </x:c>
      <x:c r="M24" s="46"/>
      <x:c r="N24" s="48" t="str">
        <x:f>IF($B24="","",IF($M24&lt;&gt;"",$M24,IFERROR(INDEX(Catalog!$N$5:$N$30,MATCH($B24,Catalog!$A$5:$A$30,0)),"")))</x:f>
      </x:c>
      <x:c r="O24" s="52" t="n">
        <x:v>0</x:v>
      </x:c>
      <x:c r="P24" s="51" t="str">
        <x:f>IF($B24="","",ROUND(IFERROR(INDEX('Fee Schedule'!$B$7:$B$9,MATCH($N24,'Fee Schedule'!$A$7:$A$9,0)),0)+$F24*IFERROR(INDEX('Fee Schedule'!$C$7:$C$9,MATCH($N24,'Fee Schedule'!$A$7:$A$9,0)),0)+$O24,2))</x:f>
      </x:c>
      <x:c r="Q24" s="51" t="str">
        <x:f>IF($B24="","",ROUND(IFERROR(INDEX('Fee Schedule'!$D$7:$D$9,MATCH($N24,'Fee Schedule'!$A$7:$A$9,0)),0)+$F24*IFERROR(INDEX('Fee Schedule'!$E$7:$E$9,MATCH($N24,'Fee Schedule'!$A$7:$A$9,0)),0),2))</x:f>
      </x:c>
      <x:c r="R24" s="51" t="str">
        <x:f>IF($B24="","",$K24+$P24+$Q24)</x:f>
      </x:c>
      <x:c r="S24" s="51" t="str">
        <x:f>IF($B24="","",12*($K24+$Q24))</x:f>
      </x:c>
      <x:c r="T24" s="32" t="str">
        <x:f>IF($B24="","",IF(COUNTIF(Catalog!$A$5:$A$30,$B24)=0,"INVALID PRODUCT",IF($E24&lt;IFERROR(INDEX(Catalog!$K$5:$K$30,MATCH($B24,Catalog!$A$5:$A$30,0)),0),"BELOW MINIMUM",IF(IFERROR(INDEX(Catalog!$O$5:$O$30,MATCH($B24,Catalog!$A$5:$A$30,0)),"Conditional")="Standard","READY","VERIFY"))))</x:f>
      </x:c>
      <x:c r="U24" s="32" t="str">
        <x:f>IF($B24="","",IFERROR(INDEX(Catalog!$G$5:$G$30,MATCH($B24,Catalog!$A$5:$A$30,0)),"")&amp;" | "&amp;IFERROR(INDEX(Catalog!$Q$5:$Q$30,MATCH($B24,Catalog!$A$5:$A$30,0)),""))</x:f>
      </x:c>
    </x:row>
    <x:row r="25" ht="40" customHeight="1">
      <x:c r="A25" s="32" t="n">
        <x:v>21</x:v>
      </x:c>
      <x:c r="B25" s="46"/>
      <x:c r="C25" s="32" t="str">
        <x:f>IF($B25="","",IFERROR(INDEX(Catalog!$D$5:$D$30,MATCH($B25,Catalog!$A$5:$A$30,0)),"UNKNOWN ID"))</x:f>
      </x:c>
      <x:c r="D25" s="32" t="str">
        <x:f>IF($B25="","",IFERROR(INDEX(Catalog!$E$5:$E$30,MATCH($B25,Catalog!$A$5:$A$30,0)),""))</x:f>
      </x:c>
      <x:c r="E25" s="46"/>
      <x:c r="F25" s="46"/>
      <x:c r="G25" s="46"/>
      <x:c r="H25" s="49" t="str">
        <x:f>IF($B25="","",IF($G25&gt;0,$G25,IFERROR(INDEX(Catalog!$J$5:$J$30,MATCH($B25,Catalog!$A$5:$A$30,0)),0)))</x:f>
      </x:c>
      <x:c r="I25" s="47" t="str">
        <x:f>IF($B25="","",IFERROR(INDEX(Catalog!$H$5:$H$30,MATCH($B25,Catalog!$A$5:$A$30,0)),""))</x:f>
      </x:c>
      <x:c r="J25" s="50" t="str">
        <x:f>IF($B25="","",IF($I25="CAD",1,'Client Quote'!$B$11))</x:f>
      </x:c>
      <x:c r="K25" s="51" t="str">
        <x:f>IF($B25="","",ROUND($E25*$H25*$J25,2))</x:f>
      </x:c>
      <x:c r="L25" s="48" t="str">
        <x:f>IF($B25="","",IFERROR(INDEX(Catalog!$L$5:$L$30,MATCH($B25,Catalog!$A$5:$A$30,0)),""))</x:f>
      </x:c>
      <x:c r="M25" s="46"/>
      <x:c r="N25" s="48" t="str">
        <x:f>IF($B25="","",IF($M25&lt;&gt;"",$M25,IFERROR(INDEX(Catalog!$N$5:$N$30,MATCH($B25,Catalog!$A$5:$A$30,0)),"")))</x:f>
      </x:c>
      <x:c r="O25" s="52" t="n">
        <x:v>0</x:v>
      </x:c>
      <x:c r="P25" s="51" t="str">
        <x:f>IF($B25="","",ROUND(IFERROR(INDEX('Fee Schedule'!$B$7:$B$9,MATCH($N25,'Fee Schedule'!$A$7:$A$9,0)),0)+$F25*IFERROR(INDEX('Fee Schedule'!$C$7:$C$9,MATCH($N25,'Fee Schedule'!$A$7:$A$9,0)),0)+$O25,2))</x:f>
      </x:c>
      <x:c r="Q25" s="51" t="str">
        <x:f>IF($B25="","",ROUND(IFERROR(INDEX('Fee Schedule'!$D$7:$D$9,MATCH($N25,'Fee Schedule'!$A$7:$A$9,0)),0)+$F25*IFERROR(INDEX('Fee Schedule'!$E$7:$E$9,MATCH($N25,'Fee Schedule'!$A$7:$A$9,0)),0),2))</x:f>
      </x:c>
      <x:c r="R25" s="51" t="str">
        <x:f>IF($B25="","",$K25+$P25+$Q25)</x:f>
      </x:c>
      <x:c r="S25" s="51" t="str">
        <x:f>IF($B25="","",12*($K25+$Q25))</x:f>
      </x:c>
      <x:c r="T25" s="32" t="str">
        <x:f>IF($B25="","",IF(COUNTIF(Catalog!$A$5:$A$30,$B25)=0,"INVALID PRODUCT",IF($E25&lt;IFERROR(INDEX(Catalog!$K$5:$K$30,MATCH($B25,Catalog!$A$5:$A$30,0)),0),"BELOW MINIMUM",IF(IFERROR(INDEX(Catalog!$O$5:$O$30,MATCH($B25,Catalog!$A$5:$A$30,0)),"Conditional")="Standard","READY","VERIFY"))))</x:f>
      </x:c>
      <x:c r="U25" s="32" t="str">
        <x:f>IF($B25="","",IFERROR(INDEX(Catalog!$G$5:$G$30,MATCH($B25,Catalog!$A$5:$A$30,0)),"")&amp;" | "&amp;IFERROR(INDEX(Catalog!$Q$5:$Q$30,MATCH($B25,Catalog!$A$5:$A$30,0)),""))</x:f>
      </x:c>
    </x:row>
    <x:row r="26" ht="40" customHeight="1">
      <x:c r="A26" s="32" t="n">
        <x:v>22</x:v>
      </x:c>
      <x:c r="B26" s="46"/>
      <x:c r="C26" s="32" t="str">
        <x:f>IF($B26="","",IFERROR(INDEX(Catalog!$D$5:$D$30,MATCH($B26,Catalog!$A$5:$A$30,0)),"UNKNOWN ID"))</x:f>
      </x:c>
      <x:c r="D26" s="32" t="str">
        <x:f>IF($B26="","",IFERROR(INDEX(Catalog!$E$5:$E$30,MATCH($B26,Catalog!$A$5:$A$30,0)),""))</x:f>
      </x:c>
      <x:c r="E26" s="46"/>
      <x:c r="F26" s="46"/>
      <x:c r="G26" s="46"/>
      <x:c r="H26" s="49" t="str">
        <x:f>IF($B26="","",IF($G26&gt;0,$G26,IFERROR(INDEX(Catalog!$J$5:$J$30,MATCH($B26,Catalog!$A$5:$A$30,0)),0)))</x:f>
      </x:c>
      <x:c r="I26" s="47" t="str">
        <x:f>IF($B26="","",IFERROR(INDEX(Catalog!$H$5:$H$30,MATCH($B26,Catalog!$A$5:$A$30,0)),""))</x:f>
      </x:c>
      <x:c r="J26" s="50" t="str">
        <x:f>IF($B26="","",IF($I26="CAD",1,'Client Quote'!$B$11))</x:f>
      </x:c>
      <x:c r="K26" s="51" t="str">
        <x:f>IF($B26="","",ROUND($E26*$H26*$J26,2))</x:f>
      </x:c>
      <x:c r="L26" s="48" t="str">
        <x:f>IF($B26="","",IFERROR(INDEX(Catalog!$L$5:$L$30,MATCH($B26,Catalog!$A$5:$A$30,0)),""))</x:f>
      </x:c>
      <x:c r="M26" s="46"/>
      <x:c r="N26" s="48" t="str">
        <x:f>IF($B26="","",IF($M26&lt;&gt;"",$M26,IFERROR(INDEX(Catalog!$N$5:$N$30,MATCH($B26,Catalog!$A$5:$A$30,0)),"")))</x:f>
      </x:c>
      <x:c r="O26" s="52" t="n">
        <x:v>0</x:v>
      </x:c>
      <x:c r="P26" s="51" t="str">
        <x:f>IF($B26="","",ROUND(IFERROR(INDEX('Fee Schedule'!$B$7:$B$9,MATCH($N26,'Fee Schedule'!$A$7:$A$9,0)),0)+$F26*IFERROR(INDEX('Fee Schedule'!$C$7:$C$9,MATCH($N26,'Fee Schedule'!$A$7:$A$9,0)),0)+$O26,2))</x:f>
      </x:c>
      <x:c r="Q26" s="51" t="str">
        <x:f>IF($B26="","",ROUND(IFERROR(INDEX('Fee Schedule'!$D$7:$D$9,MATCH($N26,'Fee Schedule'!$A$7:$A$9,0)),0)+$F26*IFERROR(INDEX('Fee Schedule'!$E$7:$E$9,MATCH($N26,'Fee Schedule'!$A$7:$A$9,0)),0),2))</x:f>
      </x:c>
      <x:c r="R26" s="51" t="str">
        <x:f>IF($B26="","",$K26+$P26+$Q26)</x:f>
      </x:c>
      <x:c r="S26" s="51" t="str">
        <x:f>IF($B26="","",12*($K26+$Q26))</x:f>
      </x:c>
      <x:c r="T26" s="32" t="str">
        <x:f>IF($B26="","",IF(COUNTIF(Catalog!$A$5:$A$30,$B26)=0,"INVALID PRODUCT",IF($E26&lt;IFERROR(INDEX(Catalog!$K$5:$K$30,MATCH($B26,Catalog!$A$5:$A$30,0)),0),"BELOW MINIMUM",IF(IFERROR(INDEX(Catalog!$O$5:$O$30,MATCH($B26,Catalog!$A$5:$A$30,0)),"Conditional")="Standard","READY","VERIFY"))))</x:f>
      </x:c>
      <x:c r="U26" s="32" t="str">
        <x:f>IF($B26="","",IFERROR(INDEX(Catalog!$G$5:$G$30,MATCH($B26,Catalog!$A$5:$A$30,0)),"")&amp;" | "&amp;IFERROR(INDEX(Catalog!$Q$5:$Q$30,MATCH($B26,Catalog!$A$5:$A$30,0)),""))</x:f>
      </x:c>
    </x:row>
    <x:row r="27" ht="40" customHeight="1">
      <x:c r="A27" s="32" t="n">
        <x:v>23</x:v>
      </x:c>
      <x:c r="B27" s="46"/>
      <x:c r="C27" s="32" t="str">
        <x:f>IF($B27="","",IFERROR(INDEX(Catalog!$D$5:$D$30,MATCH($B27,Catalog!$A$5:$A$30,0)),"UNKNOWN ID"))</x:f>
      </x:c>
      <x:c r="D27" s="32" t="str">
        <x:f>IF($B27="","",IFERROR(INDEX(Catalog!$E$5:$E$30,MATCH($B27,Catalog!$A$5:$A$30,0)),""))</x:f>
      </x:c>
      <x:c r="E27" s="46"/>
      <x:c r="F27" s="46"/>
      <x:c r="G27" s="46"/>
      <x:c r="H27" s="49" t="str">
        <x:f>IF($B27="","",IF($G27&gt;0,$G27,IFERROR(INDEX(Catalog!$J$5:$J$30,MATCH($B27,Catalog!$A$5:$A$30,0)),0)))</x:f>
      </x:c>
      <x:c r="I27" s="47" t="str">
        <x:f>IF($B27="","",IFERROR(INDEX(Catalog!$H$5:$H$30,MATCH($B27,Catalog!$A$5:$A$30,0)),""))</x:f>
      </x:c>
      <x:c r="J27" s="50" t="str">
        <x:f>IF($B27="","",IF($I27="CAD",1,'Client Quote'!$B$11))</x:f>
      </x:c>
      <x:c r="K27" s="51" t="str">
        <x:f>IF($B27="","",ROUND($E27*$H27*$J27,2))</x:f>
      </x:c>
      <x:c r="L27" s="48" t="str">
        <x:f>IF($B27="","",IFERROR(INDEX(Catalog!$L$5:$L$30,MATCH($B27,Catalog!$A$5:$A$30,0)),""))</x:f>
      </x:c>
      <x:c r="M27" s="46"/>
      <x:c r="N27" s="48" t="str">
        <x:f>IF($B27="","",IF($M27&lt;&gt;"",$M27,IFERROR(INDEX(Catalog!$N$5:$N$30,MATCH($B27,Catalog!$A$5:$A$30,0)),"")))</x:f>
      </x:c>
      <x:c r="O27" s="52" t="n">
        <x:v>0</x:v>
      </x:c>
      <x:c r="P27" s="51" t="str">
        <x:f>IF($B27="","",ROUND(IFERROR(INDEX('Fee Schedule'!$B$7:$B$9,MATCH($N27,'Fee Schedule'!$A$7:$A$9,0)),0)+$F27*IFERROR(INDEX('Fee Schedule'!$C$7:$C$9,MATCH($N27,'Fee Schedule'!$A$7:$A$9,0)),0)+$O27,2))</x:f>
      </x:c>
      <x:c r="Q27" s="51" t="str">
        <x:f>IF($B27="","",ROUND(IFERROR(INDEX('Fee Schedule'!$D$7:$D$9,MATCH($N27,'Fee Schedule'!$A$7:$A$9,0)),0)+$F27*IFERROR(INDEX('Fee Schedule'!$E$7:$E$9,MATCH($N27,'Fee Schedule'!$A$7:$A$9,0)),0),2))</x:f>
      </x:c>
      <x:c r="R27" s="51" t="str">
        <x:f>IF($B27="","",$K27+$P27+$Q27)</x:f>
      </x:c>
      <x:c r="S27" s="51" t="str">
        <x:f>IF($B27="","",12*($K27+$Q27))</x:f>
      </x:c>
      <x:c r="T27" s="32" t="str">
        <x:f>IF($B27="","",IF(COUNTIF(Catalog!$A$5:$A$30,$B27)=0,"INVALID PRODUCT",IF($E27&lt;IFERROR(INDEX(Catalog!$K$5:$K$30,MATCH($B27,Catalog!$A$5:$A$30,0)),0),"BELOW MINIMUM",IF(IFERROR(INDEX(Catalog!$O$5:$O$30,MATCH($B27,Catalog!$A$5:$A$30,0)),"Conditional")="Standard","READY","VERIFY"))))</x:f>
      </x:c>
      <x:c r="U27" s="32" t="str">
        <x:f>IF($B27="","",IFERROR(INDEX(Catalog!$G$5:$G$30,MATCH($B27,Catalog!$A$5:$A$30,0)),"")&amp;" | "&amp;IFERROR(INDEX(Catalog!$Q$5:$Q$30,MATCH($B27,Catalog!$A$5:$A$30,0)),""))</x:f>
      </x:c>
    </x:row>
    <x:row r="28" ht="40" customHeight="1">
      <x:c r="A28" s="32" t="n">
        <x:v>24</x:v>
      </x:c>
      <x:c r="B28" s="46"/>
      <x:c r="C28" s="32" t="str">
        <x:f>IF($B28="","",IFERROR(INDEX(Catalog!$D$5:$D$30,MATCH($B28,Catalog!$A$5:$A$30,0)),"UNKNOWN ID"))</x:f>
      </x:c>
      <x:c r="D28" s="32" t="str">
        <x:f>IF($B28="","",IFERROR(INDEX(Catalog!$E$5:$E$30,MATCH($B28,Catalog!$A$5:$A$30,0)),""))</x:f>
      </x:c>
      <x:c r="E28" s="46"/>
      <x:c r="F28" s="46"/>
      <x:c r="G28" s="46"/>
      <x:c r="H28" s="49" t="str">
        <x:f>IF($B28="","",IF($G28&gt;0,$G28,IFERROR(INDEX(Catalog!$J$5:$J$30,MATCH($B28,Catalog!$A$5:$A$30,0)),0)))</x:f>
      </x:c>
      <x:c r="I28" s="47" t="str">
        <x:f>IF($B28="","",IFERROR(INDEX(Catalog!$H$5:$H$30,MATCH($B28,Catalog!$A$5:$A$30,0)),""))</x:f>
      </x:c>
      <x:c r="J28" s="50" t="str">
        <x:f>IF($B28="","",IF($I28="CAD",1,'Client Quote'!$B$11))</x:f>
      </x:c>
      <x:c r="K28" s="51" t="str">
        <x:f>IF($B28="","",ROUND($E28*$H28*$J28,2))</x:f>
      </x:c>
      <x:c r="L28" s="48" t="str">
        <x:f>IF($B28="","",IFERROR(INDEX(Catalog!$L$5:$L$30,MATCH($B28,Catalog!$A$5:$A$30,0)),""))</x:f>
      </x:c>
      <x:c r="M28" s="46"/>
      <x:c r="N28" s="48" t="str">
        <x:f>IF($B28="","",IF($M28&lt;&gt;"",$M28,IFERROR(INDEX(Catalog!$N$5:$N$30,MATCH($B28,Catalog!$A$5:$A$30,0)),"")))</x:f>
      </x:c>
      <x:c r="O28" s="52" t="n">
        <x:v>0</x:v>
      </x:c>
      <x:c r="P28" s="51" t="str">
        <x:f>IF($B28="","",ROUND(IFERROR(INDEX('Fee Schedule'!$B$7:$B$9,MATCH($N28,'Fee Schedule'!$A$7:$A$9,0)),0)+$F28*IFERROR(INDEX('Fee Schedule'!$C$7:$C$9,MATCH($N28,'Fee Schedule'!$A$7:$A$9,0)),0)+$O28,2))</x:f>
      </x:c>
      <x:c r="Q28" s="51" t="str">
        <x:f>IF($B28="","",ROUND(IFERROR(INDEX('Fee Schedule'!$D$7:$D$9,MATCH($N28,'Fee Schedule'!$A$7:$A$9,0)),0)+$F28*IFERROR(INDEX('Fee Schedule'!$E$7:$E$9,MATCH($N28,'Fee Schedule'!$A$7:$A$9,0)),0),2))</x:f>
      </x:c>
      <x:c r="R28" s="51" t="str">
        <x:f>IF($B28="","",$K28+$P28+$Q28)</x:f>
      </x:c>
      <x:c r="S28" s="51" t="str">
        <x:f>IF($B28="","",12*($K28+$Q28))</x:f>
      </x:c>
      <x:c r="T28" s="32" t="str">
        <x:f>IF($B28="","",IF(COUNTIF(Catalog!$A$5:$A$30,$B28)=0,"INVALID PRODUCT",IF($E28&lt;IFERROR(INDEX(Catalog!$K$5:$K$30,MATCH($B28,Catalog!$A$5:$A$30,0)),0),"BELOW MINIMUM",IF(IFERROR(INDEX(Catalog!$O$5:$O$30,MATCH($B28,Catalog!$A$5:$A$30,0)),"Conditional")="Standard","READY","VERIFY"))))</x:f>
      </x:c>
      <x:c r="U28" s="32" t="str">
        <x:f>IF($B28="","",IFERROR(INDEX(Catalog!$G$5:$G$30,MATCH($B28,Catalog!$A$5:$A$30,0)),"")&amp;" | "&amp;IFERROR(INDEX(Catalog!$Q$5:$Q$30,MATCH($B28,Catalog!$A$5:$A$30,0)),""))</x:f>
      </x:c>
    </x:row>
    <x:row r="29" ht="40" customHeight="1">
      <x:c r="A29" s="32" t="n">
        <x:v>25</x:v>
      </x:c>
      <x:c r="B29" s="46"/>
      <x:c r="C29" s="32" t="str">
        <x:f>IF($B29="","",IFERROR(INDEX(Catalog!$D$5:$D$30,MATCH($B29,Catalog!$A$5:$A$30,0)),"UNKNOWN ID"))</x:f>
      </x:c>
      <x:c r="D29" s="32" t="str">
        <x:f>IF($B29="","",IFERROR(INDEX(Catalog!$E$5:$E$30,MATCH($B29,Catalog!$A$5:$A$30,0)),""))</x:f>
      </x:c>
      <x:c r="E29" s="46"/>
      <x:c r="F29" s="46"/>
      <x:c r="G29" s="46"/>
      <x:c r="H29" s="49" t="str">
        <x:f>IF($B29="","",IF($G29&gt;0,$G29,IFERROR(INDEX(Catalog!$J$5:$J$30,MATCH($B29,Catalog!$A$5:$A$30,0)),0)))</x:f>
      </x:c>
      <x:c r="I29" s="47" t="str">
        <x:f>IF($B29="","",IFERROR(INDEX(Catalog!$H$5:$H$30,MATCH($B29,Catalog!$A$5:$A$30,0)),""))</x:f>
      </x:c>
      <x:c r="J29" s="50" t="str">
        <x:f>IF($B29="","",IF($I29="CAD",1,'Client Quote'!$B$11))</x:f>
      </x:c>
      <x:c r="K29" s="51" t="str">
        <x:f>IF($B29="","",ROUND($E29*$H29*$J29,2))</x:f>
      </x:c>
      <x:c r="L29" s="48" t="str">
        <x:f>IF($B29="","",IFERROR(INDEX(Catalog!$L$5:$L$30,MATCH($B29,Catalog!$A$5:$A$30,0)),""))</x:f>
      </x:c>
      <x:c r="M29" s="46"/>
      <x:c r="N29" s="48" t="str">
        <x:f>IF($B29="","",IF($M29&lt;&gt;"",$M29,IFERROR(INDEX(Catalog!$N$5:$N$30,MATCH($B29,Catalog!$A$5:$A$30,0)),"")))</x:f>
      </x:c>
      <x:c r="O29" s="52" t="n">
        <x:v>0</x:v>
      </x:c>
      <x:c r="P29" s="51" t="str">
        <x:f>IF($B29="","",ROUND(IFERROR(INDEX('Fee Schedule'!$B$7:$B$9,MATCH($N29,'Fee Schedule'!$A$7:$A$9,0)),0)+$F29*IFERROR(INDEX('Fee Schedule'!$C$7:$C$9,MATCH($N29,'Fee Schedule'!$A$7:$A$9,0)),0)+$O29,2))</x:f>
      </x:c>
      <x:c r="Q29" s="51" t="str">
        <x:f>IF($B29="","",ROUND(IFERROR(INDEX('Fee Schedule'!$D$7:$D$9,MATCH($N29,'Fee Schedule'!$A$7:$A$9,0)),0)+$F29*IFERROR(INDEX('Fee Schedule'!$E$7:$E$9,MATCH($N29,'Fee Schedule'!$A$7:$A$9,0)),0),2))</x:f>
      </x:c>
      <x:c r="R29" s="51" t="str">
        <x:f>IF($B29="","",$K29+$P29+$Q29)</x:f>
      </x:c>
      <x:c r="S29" s="51" t="str">
        <x:f>IF($B29="","",12*($K29+$Q29))</x:f>
      </x:c>
      <x:c r="T29" s="32" t="str">
        <x:f>IF($B29="","",IF(COUNTIF(Catalog!$A$5:$A$30,$B29)=0,"INVALID PRODUCT",IF($E29&lt;IFERROR(INDEX(Catalog!$K$5:$K$30,MATCH($B29,Catalog!$A$5:$A$30,0)),0),"BELOW MINIMUM",IF(IFERROR(INDEX(Catalog!$O$5:$O$30,MATCH($B29,Catalog!$A$5:$A$30,0)),"Conditional")="Standard","READY","VERIFY"))))</x:f>
      </x:c>
      <x:c r="U29" s="32" t="str">
        <x:f>IF($B29="","",IFERROR(INDEX(Catalog!$G$5:$G$30,MATCH($B29,Catalog!$A$5:$A$30,0)),"")&amp;" | "&amp;IFERROR(INDEX(Catalog!$Q$5:$Q$30,MATCH($B29,Catalog!$A$5:$A$30,0)),""))</x:f>
      </x:c>
    </x:row>
    <x:row r="30" ht="40" customHeight="1">
      <x:c r="A30" s="32" t="n">
        <x:v>26</x:v>
      </x:c>
      <x:c r="B30" s="46"/>
      <x:c r="C30" s="32" t="str">
        <x:f>IF($B30="","",IFERROR(INDEX(Catalog!$D$5:$D$30,MATCH($B30,Catalog!$A$5:$A$30,0)),"UNKNOWN ID"))</x:f>
      </x:c>
      <x:c r="D30" s="32" t="str">
        <x:f>IF($B30="","",IFERROR(INDEX(Catalog!$E$5:$E$30,MATCH($B30,Catalog!$A$5:$A$30,0)),""))</x:f>
      </x:c>
      <x:c r="E30" s="46"/>
      <x:c r="F30" s="46"/>
      <x:c r="G30" s="46"/>
      <x:c r="H30" s="49" t="str">
        <x:f>IF($B30="","",IF($G30&gt;0,$G30,IFERROR(INDEX(Catalog!$J$5:$J$30,MATCH($B30,Catalog!$A$5:$A$30,0)),0)))</x:f>
      </x:c>
      <x:c r="I30" s="47" t="str">
        <x:f>IF($B30="","",IFERROR(INDEX(Catalog!$H$5:$H$30,MATCH($B30,Catalog!$A$5:$A$30,0)),""))</x:f>
      </x:c>
      <x:c r="J30" s="50" t="str">
        <x:f>IF($B30="","",IF($I30="CAD",1,'Client Quote'!$B$11))</x:f>
      </x:c>
      <x:c r="K30" s="51" t="str">
        <x:f>IF($B30="","",ROUND($E30*$H30*$J30,2))</x:f>
      </x:c>
      <x:c r="L30" s="48" t="str">
        <x:f>IF($B30="","",IFERROR(INDEX(Catalog!$L$5:$L$30,MATCH($B30,Catalog!$A$5:$A$30,0)),""))</x:f>
      </x:c>
      <x:c r="M30" s="46"/>
      <x:c r="N30" s="48" t="str">
        <x:f>IF($B30="","",IF($M30&lt;&gt;"",$M30,IFERROR(INDEX(Catalog!$N$5:$N$30,MATCH($B30,Catalog!$A$5:$A$30,0)),"")))</x:f>
      </x:c>
      <x:c r="O30" s="52" t="n">
        <x:v>0</x:v>
      </x:c>
      <x:c r="P30" s="51" t="str">
        <x:f>IF($B30="","",ROUND(IFERROR(INDEX('Fee Schedule'!$B$7:$B$9,MATCH($N30,'Fee Schedule'!$A$7:$A$9,0)),0)+$F30*IFERROR(INDEX('Fee Schedule'!$C$7:$C$9,MATCH($N30,'Fee Schedule'!$A$7:$A$9,0)),0)+$O30,2))</x:f>
      </x:c>
      <x:c r="Q30" s="51" t="str">
        <x:f>IF($B30="","",ROUND(IFERROR(INDEX('Fee Schedule'!$D$7:$D$9,MATCH($N30,'Fee Schedule'!$A$7:$A$9,0)),0)+$F30*IFERROR(INDEX('Fee Schedule'!$E$7:$E$9,MATCH($N30,'Fee Schedule'!$A$7:$A$9,0)),0),2))</x:f>
      </x:c>
      <x:c r="R30" s="51" t="str">
        <x:f>IF($B30="","",$K30+$P30+$Q30)</x:f>
      </x:c>
      <x:c r="S30" s="51" t="str">
        <x:f>IF($B30="","",12*($K30+$Q30))</x:f>
      </x:c>
      <x:c r="T30" s="32" t="str">
        <x:f>IF($B30="","",IF(COUNTIF(Catalog!$A$5:$A$30,$B30)=0,"INVALID PRODUCT",IF($E30&lt;IFERROR(INDEX(Catalog!$K$5:$K$30,MATCH($B30,Catalog!$A$5:$A$30,0)),0),"BELOW MINIMUM",IF(IFERROR(INDEX(Catalog!$O$5:$O$30,MATCH($B30,Catalog!$A$5:$A$30,0)),"Conditional")="Standard","READY","VERIFY"))))</x:f>
      </x:c>
      <x:c r="U30" s="32" t="str">
        <x:f>IF($B30="","",IFERROR(INDEX(Catalog!$G$5:$G$30,MATCH($B30,Catalog!$A$5:$A$30,0)),"")&amp;" | "&amp;IFERROR(INDEX(Catalog!$Q$5:$Q$30,MATCH($B30,Catalog!$A$5:$A$30,0)),""))</x:f>
      </x:c>
    </x:row>
  </x:sheetData>
  <x:mergeCells>
    <x:mergeCell ref="A1:U1"/>
    <x:mergeCell ref="A2:U2"/>
  </x:mergeCells>
  <x:conditionalFormatting sqref="T5:T30">
    <x:cfRule type="containsText" dxfId="1" priority="1" operator="containsText" text="VERIFY"/>
    <x:cfRule type="containsText" dxfId="2" priority="2" operator="containsText" text="INVALID"/>
    <x:cfRule type="containsText" dxfId="3" priority="3" operator="containsText" text="BELOW"/>
  </x:conditionalFormatting>
  <x:dataValidations count="2">
    <x:dataValidation type="list" sqref="B5:B30">
      <x:formula1>Catalog!$A$5:$A$30</x:formula1>
    </x:dataValidation>
    <x:dataValidation type="list" sqref="M5:M30">
      <x:formula1>'Fee Schedule'!$A$7:$A$9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26" hidden="0" customWidth="1"/>
    <x:col min="5" max="5" width="26" hidden="0" customWidth="1"/>
    <x:col min="6" max="6" width="24" hidden="0" customWidth="1"/>
    <x:col min="7" max="7" width="24" hidden="0" customWidth="1"/>
    <x:col min="8" max="8" width="17" hidden="0" customWidth="1"/>
    <x:col min="9" max="9" width="17" hidden="0" customWidth="1"/>
    <x:col min="10" max="10" width="20" hidden="0" customWidth="1"/>
    <x:col min="11" max="11" width="10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48" hidden="0" customWidth="1"/>
    <x:col min="19" max="19" width="14" hidden="0" customWidth="1"/>
  </x:cols>
  <x:sheetData>
    <x:row r="1" ht="40" customHeight="1">
      <x:c r="A1" s="3" t="str">
        <x:v>CANDIDATE PRODUCT CATALOGUE</x:v>
      </x:c>
      <x:c r="B1" s="3" t="str">
        <x:v>CANDIDATE PRODUCT CATALOGUE</x:v>
      </x:c>
      <x:c r="C1" s="3" t="str">
        <x:v>CANDIDATE PRODUCT CATALOGUE</x:v>
      </x:c>
      <x:c r="D1" s="3" t="str">
        <x:v>CANDIDATE PRODUCT CATALOGUE</x:v>
      </x:c>
      <x:c r="E1" s="3" t="str">
        <x:v>CANDIDATE PRODUCT CATALOGUE</x:v>
      </x:c>
      <x:c r="F1" s="3" t="str">
        <x:v>CANDIDATE PRODUCT CATALOGUE</x:v>
      </x:c>
      <x:c r="G1" s="3" t="str">
        <x:v>CANDIDATE PRODUCT CATALOGUE</x:v>
      </x:c>
      <x:c r="H1" s="3" t="str">
        <x:v>CANDIDATE PRODUCT CATALOGUE</x:v>
      </x:c>
      <x:c r="I1" s="3" t="str">
        <x:v>CANDIDATE PRODUCT CATALOGUE</x:v>
      </x:c>
      <x:c r="J1" s="3" t="str">
        <x:v>CANDIDATE PRODUCT CATALOGUE</x:v>
      </x:c>
      <x:c r="K1" s="3" t="str">
        <x:v>CANDIDATE PRODUCT CATALOGUE</x:v>
      </x:c>
      <x:c r="L1" s="3" t="str">
        <x:v>CANDIDATE PRODUCT CATALOGUE</x:v>
      </x:c>
      <x:c r="M1" s="3" t="str">
        <x:v>CANDIDATE PRODUCT CATALOGUE</x:v>
      </x:c>
      <x:c r="N1" s="3" t="str">
        <x:v>CANDIDATE PRODUCT CATALOGUE</x:v>
      </x:c>
      <x:c r="O1" s="3" t="str">
        <x:v>CANDIDATE PRODUCT CATALOGUE</x:v>
      </x:c>
      <x:c r="P1" s="3" t="str">
        <x:v>CANDIDATE PRODUCT CATALOGUE</x:v>
      </x:c>
      <x:c r="Q1" s="3" t="str">
        <x:v>CANDIDATE PRODUCT CATALOGUE</x:v>
      </x:c>
      <x:c r="R1" s="3" t="str">
        <x:v>CANDIDATE PRODUCT CATALOGUE</x:v>
      </x:c>
      <x:c r="S1" s="3" t="str">
        <x:v>CANDIDATE PRODUCT CATALOGUE</x:v>
      </x:c>
    </x:row>
    <x:row r="2" ht="34" customHeight="1">
      <x:c r="A2" s="7" t="str">
        <x:v>Captured 2026-08-25. Public prices are editable planning anchors, exclude tax/FX/overage/prerequisites, and must be verified before quote.</x:v>
      </x:c>
      <x:c r="B2" s="7" t="str">
        <x:v>Captured 2026-08-25. Public prices are editable planning anchors, exclude tax/FX/overage/prerequisites, and must be verified before quote.</x:v>
      </x:c>
      <x:c r="C2" s="7" t="str">
        <x:v>Captured 2026-08-25. Public prices are editable planning anchors, exclude tax/FX/overage/prerequisites, and must be verified before quote.</x:v>
      </x:c>
      <x:c r="D2" s="7" t="str">
        <x:v>Captured 2026-08-25. Public prices are editable planning anchors, exclude tax/FX/overage/prerequisites, and must be verified before quote.</x:v>
      </x:c>
      <x:c r="E2" s="7" t="str">
        <x:v>Captured 2026-08-25. Public prices are editable planning anchors, exclude tax/FX/overage/prerequisites, and must be verified before quote.</x:v>
      </x:c>
      <x:c r="F2" s="7" t="str">
        <x:v>Captured 2026-08-25. Public prices are editable planning anchors, exclude tax/FX/overage/prerequisites, and must be verified before quote.</x:v>
      </x:c>
      <x:c r="G2" s="7" t="str">
        <x:v>Captured 2026-08-25. Public prices are editable planning anchors, exclude tax/FX/overage/prerequisites, and must be verified before quote.</x:v>
      </x:c>
      <x:c r="H2" s="7" t="str">
        <x:v>Captured 2026-08-25. Public prices are editable planning anchors, exclude tax/FX/overage/prerequisites, and must be verified before quote.</x:v>
      </x:c>
      <x:c r="I2" s="7" t="str">
        <x:v>Captured 2026-08-25. Public prices are editable planning anchors, exclude tax/FX/overage/prerequisites, and must be verified before quote.</x:v>
      </x:c>
      <x:c r="J2" s="7" t="str">
        <x:v>Captured 2026-08-25. Public prices are editable planning anchors, exclude tax/FX/overage/prerequisites, and must be verified before quote.</x:v>
      </x:c>
      <x:c r="K2" s="7" t="str">
        <x:v>Captured 2026-08-25. Public prices are editable planning anchors, exclude tax/FX/overage/prerequisites, and must be verified before quote.</x:v>
      </x:c>
      <x:c r="L2" s="7" t="str">
        <x:v>Captured 2026-08-25. Public prices are editable planning anchors, exclude tax/FX/overage/prerequisites, and must be verified before quote.</x:v>
      </x:c>
      <x:c r="M2" s="7" t="str">
        <x:v>Captured 2026-08-25. Public prices are editable planning anchors, exclude tax/FX/overage/prerequisites, and must be verified before quote.</x:v>
      </x:c>
      <x:c r="N2" s="7" t="str">
        <x:v>Captured 2026-08-25. Public prices are editable planning anchors, exclude tax/FX/overage/prerequisites, and must be verified before quote.</x:v>
      </x:c>
      <x:c r="O2" s="7" t="str">
        <x:v>Captured 2026-08-25. Public prices are editable planning anchors, exclude tax/FX/overage/prerequisites, and must be verified before quote.</x:v>
      </x:c>
      <x:c r="P2" s="7" t="str">
        <x:v>Captured 2026-08-25. Public prices are editable planning anchors, exclude tax/FX/overage/prerequisites, and must be verified before quote.</x:v>
      </x:c>
      <x:c r="Q2" s="7" t="str">
        <x:v>Captured 2026-08-25. Public prices are editable planning anchors, exclude tax/FX/overage/prerequisites, and must be verified before quote.</x:v>
      </x:c>
      <x:c r="R2" s="7" t="str">
        <x:v>Captured 2026-08-25. Public prices are editable planning anchors, exclude tax/FX/overage/prerequisites, and must be verified before quote.</x:v>
      </x:c>
      <x:c r="S2" s="7" t="str">
        <x:v>Captured 2026-08-25. Public prices are editable planning anchors, exclude tax/FX/overage/prerequisites, and must be verified before quote.</x:v>
      </x:c>
    </x:row>
    <x:row r="4" ht="34" customHeight="1">
      <x:c r="A4" s="26" t="str">
        <x:v>Product ID</x:v>
      </x:c>
      <x:c r="B4" s="26" t="str">
        <x:v>Menu</x:v>
      </x:c>
      <x:c r="C4" s="26" t="str">
        <x:v>Vendor</x:v>
      </x:c>
      <x:c r="D4" s="26" t="str">
        <x:v>Product</x:v>
      </x:c>
      <x:c r="E4" s="26" t="str">
        <x:v>Plan / SKU</x:v>
      </x:c>
      <x:c r="F4" s="26" t="str">
        <x:v>Primary job</x:v>
      </x:c>
      <x:c r="G4" s="26" t="str">
        <x:v>Billing basis</x:v>
      </x:c>
      <x:c r="H4" s="26" t="str">
        <x:v>Currency</x:v>
      </x:c>
      <x:c r="I4" s="26" t="str">
        <x:v>Billing term</x:v>
      </x:c>
      <x:c r="J4" s="26" t="str">
        <x:v>Public unit price / monthly equivalent</x:v>
      </x:c>
      <x:c r="K4" s="26" t="str">
        <x:v>Minimum</x:v>
      </x:c>
      <x:c r="L4" s="26" t="str">
        <x:v>Commercial path</x:v>
      </x:c>
      <x:c r="M4" s="26" t="str">
        <x:v>Resale / partner status</x:v>
      </x:c>
      <x:c r="N4" s="26" t="str">
        <x:v>Default tier</x:v>
      </x:c>
      <x:c r="O4" s="26" t="str">
        <x:v>Catalogue state</x:v>
      </x:c>
      <x:c r="P4" s="26" t="str">
        <x:v>Prerequisite</x:v>
      </x:c>
      <x:c r="Q4" s="26" t="str">
        <x:v>Operating note</x:v>
      </x:c>
      <x:c r="R4" s="26" t="str">
        <x:v>Price source</x:v>
      </x:c>
      <x:c r="S4" s="26" t="str">
        <x:v>Captured</x:v>
      </x:c>
    </x:row>
    <x:row r="5" ht="48" customHeight="1">
      <x:c r="A5" s="32" t="str">
        <x:v>OA-CHATGPT-BUS-STD</x:v>
      </x:c>
      <x:c r="B5" s="32" t="str">
        <x:v>WORK</x:v>
      </x:c>
      <x:c r="C5" s="32" t="str">
        <x:v>OpenAI</x:v>
      </x:c>
      <x:c r="D5" s="32" t="str">
        <x:v>ChatGPT Business</x:v>
      </x:c>
      <x:c r="E5" s="32" t="str">
        <x:v>Standard</x:v>
      </x:c>
      <x:c r="F5" s="32" t="str">
        <x:v>General workforce assistant</x:v>
      </x:c>
      <x:c r="G5" s="32" t="str">
        <x:v>Seat / month</x:v>
      </x:c>
      <x:c r="H5" s="32" t="str">
        <x:v>USD</x:v>
      </x:c>
      <x:c r="I5" s="32" t="str">
        <x:v>Annual commitment</x:v>
      </x:c>
      <x:c r="J5" s="34" t="n">
        <x:v>20</x:v>
      </x:c>
      <x:c r="K5" s="35" t="n">
        <x:v>2</x:v>
      </x:c>
      <x:c r="L5" s="32" t="str">
        <x:v>CUST-DIRECT</x:v>
      </x:c>
      <x:c r="M5" s="32" t="str">
        <x:v>Partner network exists; resale right not verified</x:v>
      </x:c>
      <x:c r="N5" s="32" t="str">
        <x:v>Manage</x:v>
      </x:c>
      <x:c r="O5" s="32" t="str">
        <x:v>Candidate</x:v>
      </x:c>
      <x:c r="P5" s="32" t="str">
        <x:v>2 users; company workspace</x:v>
      </x:c>
      <x:c r="Q5" s="32" t="str">
        <x:v>Central billing/admin; quote-time verify plan and commitment</x:v>
      </x:c>
      <x:c r="R5" s="32" t="str">
        <x:v>https://openai.com/business/pricing/?LanguageId=1</x:v>
      </x:c>
      <x:c r="S5" s="32" t="str">
        <x:v>2026-08-25</x:v>
      </x:c>
    </x:row>
    <x:row r="6" ht="48" customHeight="1">
      <x:c r="A6" s="32" t="str">
        <x:v>OA-CHATGPT-BUS-PREM</x:v>
      </x:c>
      <x:c r="B6" s="32" t="str">
        <x:v>WORK</x:v>
      </x:c>
      <x:c r="C6" s="32" t="str">
        <x:v>OpenAI</x:v>
      </x:c>
      <x:c r="D6" s="32" t="str">
        <x:v>ChatGPT Business</x:v>
      </x:c>
      <x:c r="E6" s="32" t="str">
        <x:v>Premium</x:v>
      </x:c>
      <x:c r="F6" s="32" t="str">
        <x:v>Higher-use workforce assistant</x:v>
      </x:c>
      <x:c r="G6" s="32" t="str">
        <x:v>Seat / month</x:v>
      </x:c>
      <x:c r="H6" s="32" t="str">
        <x:v>USD</x:v>
      </x:c>
      <x:c r="I6" s="32" t="str">
        <x:v>Annual commitment</x:v>
      </x:c>
      <x:c r="J6" s="34" t="n">
        <x:v>100</x:v>
      </x:c>
      <x:c r="K6" s="35" t="n">
        <x:v>2</x:v>
      </x:c>
      <x:c r="L6" s="32" t="str">
        <x:v>CUST-DIRECT</x:v>
      </x:c>
      <x:c r="M6" s="32" t="str">
        <x:v>Partner network exists; resale right not verified</x:v>
      </x:c>
      <x:c r="N6" s="32" t="str">
        <x:v>Manage</x:v>
      </x:c>
      <x:c r="O6" s="32" t="str">
        <x:v>Candidate</x:v>
      </x:c>
      <x:c r="P6" s="32" t="str">
        <x:v>2 users; company workspace</x:v>
      </x:c>
      <x:c r="Q6" s="32" t="str">
        <x:v>Can mix with Standard; confirm current eligibility and billing</x:v>
      </x:c>
      <x:c r="R6" s="32" t="str">
        <x:v>https://openai.com/business/pricing/?LanguageId=1</x:v>
      </x:c>
      <x:c r="S6" s="32" t="str">
        <x:v>2026-08-25</x:v>
      </x:c>
    </x:row>
    <x:row r="7" ht="48" customHeight="1">
      <x:c r="A7" s="32" t="str">
        <x:v>OA-API</x:v>
      </x:c>
      <x:c r="B7" s="32" t="str">
        <x:v>BUILD</x:v>
      </x:c>
      <x:c r="C7" s="32" t="str">
        <x:v>OpenAI</x:v>
      </x:c>
      <x:c r="D7" s="32" t="str">
        <x:v>OpenAI API</x:v>
      </x:c>
      <x:c r="E7" s="32" t="str">
        <x:v>Usage budget</x:v>
      </x:c>
      <x:c r="F7" s="32" t="str">
        <x:v>Model/API access</x:v>
      </x:c>
      <x:c r="G7" s="32" t="str">
        <x:v>USD monthly budget</x:v>
      </x:c>
      <x:c r="H7" s="32" t="str">
        <x:v>USD</x:v>
      </x:c>
      <x:c r="I7" s="32" t="str">
        <x:v>Consumption</x:v>
      </x:c>
      <x:c r="J7" s="34" t="n">
        <x:v>1</x:v>
      </x:c>
      <x:c r="K7" s="35" t="n">
        <x:v>1</x:v>
      </x:c>
      <x:c r="L7" s="32" t="str">
        <x:v>CUST-DIRECT / CLOUD-MKT</x:v>
      </x:c>
      <x:c r="M7" s="32" t="str">
        <x:v>Resale right not verified</x:v>
      </x:c>
      <x:c r="N7" s="32" t="str">
        <x:v>Operate</x:v>
      </x:c>
      <x:c r="O7" s="32" t="str">
        <x:v>Conditional</x:v>
      </x:c>
      <x:c r="P7" s="32" t="str">
        <x:v>Customer-owned organization and payment method</x:v>
      </x:c>
      <x:c r="Q7" s="32" t="str">
        <x:v>Quantity is estimated USD monthly usage budget; model rates vary</x:v>
      </x:c>
      <x:c r="R7" s="32" t="str">
        <x:v>https://openai.com/api/pricing/</x:v>
      </x:c>
      <x:c r="S7" s="32" t="str">
        <x:v>2026-08-25</x:v>
      </x:c>
    </x:row>
    <x:row r="8" ht="48" customHeight="1">
      <x:c r="A8" s="32" t="str">
        <x:v>AN-CLAUDE-TEAM</x:v>
      </x:c>
      <x:c r="B8" s="32" t="str">
        <x:v>WORK</x:v>
      </x:c>
      <x:c r="C8" s="32" t="str">
        <x:v>Anthropic</x:v>
      </x:c>
      <x:c r="D8" s="32" t="str">
        <x:v>Claude Team</x:v>
      </x:c>
      <x:c r="E8" s="32" t="str">
        <x:v>Standard</x:v>
      </x:c>
      <x:c r="F8" s="32" t="str">
        <x:v>General workforce assistant</x:v>
      </x:c>
      <x:c r="G8" s="32" t="str">
        <x:v>Seat / month</x:v>
      </x:c>
      <x:c r="H8" s="32" t="str">
        <x:v>USD</x:v>
      </x:c>
      <x:c r="I8" s="32" t="str">
        <x:v>Annual commitment</x:v>
      </x:c>
      <x:c r="J8" s="34" t="n">
        <x:v>25</x:v>
      </x:c>
      <x:c r="K8" s="35" t="n">
        <x:v>5</x:v>
      </x:c>
      <x:c r="L8" s="32" t="str">
        <x:v>CUST-DIRECT</x:v>
      </x:c>
      <x:c r="M8" s="32" t="str">
        <x:v>Services partner track exists; resale right not verified</x:v>
      </x:c>
      <x:c r="N8" s="32" t="str">
        <x:v>Manage</x:v>
      </x:c>
      <x:c r="O8" s="32" t="str">
        <x:v>Candidate</x:v>
      </x:c>
      <x:c r="P8" s="32" t="str">
        <x:v>Minimum 5 members</x:v>
      </x:c>
      <x:c r="Q8" s="32" t="str">
        <x:v>SSO is not assumed at this tier; verify current admin controls</x:v>
      </x:c>
      <x:c r="R8" s="32" t="str">
        <x:v>https://www.anthropic.com/pricing</x:v>
      </x:c>
      <x:c r="S8" s="32" t="str">
        <x:v>2026-08-25</x:v>
      </x:c>
    </x:row>
    <x:row r="9" ht="48" customHeight="1">
      <x:c r="A9" s="32" t="str">
        <x:v>AN-API</x:v>
      </x:c>
      <x:c r="B9" s="32" t="str">
        <x:v>BUILD</x:v>
      </x:c>
      <x:c r="C9" s="32" t="str">
        <x:v>Anthropic</x:v>
      </x:c>
      <x:c r="D9" s="32" t="str">
        <x:v>Claude API</x:v>
      </x:c>
      <x:c r="E9" s="32" t="str">
        <x:v>Usage budget</x:v>
      </x:c>
      <x:c r="F9" s="32" t="str">
        <x:v>Model/API access</x:v>
      </x:c>
      <x:c r="G9" s="32" t="str">
        <x:v>USD monthly budget</x:v>
      </x:c>
      <x:c r="H9" s="32" t="str">
        <x:v>USD</x:v>
      </x:c>
      <x:c r="I9" s="32" t="str">
        <x:v>Consumption</x:v>
      </x:c>
      <x:c r="J9" s="34" t="n">
        <x:v>1</x:v>
      </x:c>
      <x:c r="K9" s="35" t="n">
        <x:v>1</x:v>
      </x:c>
      <x:c r="L9" s="32" t="str">
        <x:v>CUST-DIRECT / CLOUD-MKT</x:v>
      </x:c>
      <x:c r="M9" s="32" t="str">
        <x:v>Resale right not verified</x:v>
      </x:c>
      <x:c r="N9" s="32" t="str">
        <x:v>Operate</x:v>
      </x:c>
      <x:c r="O9" s="32" t="str">
        <x:v>Conditional</x:v>
      </x:c>
      <x:c r="P9" s="32" t="str">
        <x:v>Customer-owned console and payment method</x:v>
      </x:c>
      <x:c r="Q9" s="32" t="str">
        <x:v>Quantity is estimated USD monthly usage budget; model rates vary</x:v>
      </x:c>
      <x:c r="R9" s="32" t="str">
        <x:v>https://www.anthropic.com/pricing</x:v>
      </x:c>
      <x:c r="S9" s="32" t="str">
        <x:v>2026-08-25</x:v>
      </x:c>
    </x:row>
    <x:row r="10" ht="48" customHeight="1">
      <x:c r="A10" s="32" t="str">
        <x:v>OR-PAYG</x:v>
      </x:c>
      <x:c r="B10" s="32" t="str">
        <x:v>BUILD</x:v>
      </x:c>
      <x:c r="C10" s="32" t="str">
        <x:v>OpenRouter</x:v>
      </x:c>
      <x:c r="D10" s="32" t="str">
        <x:v>OpenRouter</x:v>
      </x:c>
      <x:c r="E10" s="32" t="str">
        <x:v>Pay-as-you-go</x:v>
      </x:c>
      <x:c r="F10" s="32" t="str">
        <x:v>Multi-model API routing</x:v>
      </x:c>
      <x:c r="G10" s="32" t="str">
        <x:v>USD monthly budget</x:v>
      </x:c>
      <x:c r="H10" s="32" t="str">
        <x:v>USD</x:v>
      </x:c>
      <x:c r="I10" s="32" t="str">
        <x:v>Consumption</x:v>
      </x:c>
      <x:c r="J10" s="34" t="n">
        <x:v>1.055</x:v>
      </x:c>
      <x:c r="K10" s="35" t="n">
        <x:v>1</x:v>
      </x:c>
      <x:c r="L10" s="32" t="str">
        <x:v>CUST-DIRECT</x:v>
      </x:c>
      <x:c r="M10" s="32" t="str">
        <x:v>Resale right not verified</x:v>
      </x:c>
      <x:c r="N10" s="32" t="str">
        <x:v>Operate</x:v>
      </x:c>
      <x:c r="O10" s="32" t="str">
        <x:v>Conditional</x:v>
      </x:c>
      <x:c r="P10" s="32" t="str">
        <x:v>Customer-owned account, keys, budget</x:v>
      </x:c>
      <x:c r="Q10" s="32" t="str">
        <x:v>Price factor models stated 5.5% credit-purchase fee; BYOK terms differ</x:v>
      </x:c>
      <x:c r="R10" s="32" t="str">
        <x:v>https://openrouter.ai/pricing</x:v>
      </x:c>
      <x:c r="S10" s="32" t="str">
        <x:v>2026-08-25</x:v>
      </x:c>
    </x:row>
    <x:row r="11" ht="48" customHeight="1">
      <x:c r="A11" s="32" t="str">
        <x:v>MS-COPILOT-BUS</x:v>
      </x:c>
      <x:c r="B11" s="32" t="str">
        <x:v>WORK</x:v>
      </x:c>
      <x:c r="C11" s="32" t="str">
        <x:v>Microsoft</x:v>
      </x:c>
      <x:c r="D11" s="32" t="str">
        <x:v>Microsoft 365 Copilot Business</x:v>
      </x:c>
      <x:c r="E11" s="32" t="str">
        <x:v>Business</x:v>
      </x:c>
      <x:c r="F11" s="32" t="str">
        <x:v>AI across Microsoft 365</x:v>
      </x:c>
      <x:c r="G11" s="32" t="str">
        <x:v>Seat / month</x:v>
      </x:c>
      <x:c r="H11" s="32" t="str">
        <x:v>CAD</x:v>
      </x:c>
      <x:c r="I11" s="32" t="str">
        <x:v>Annual commitment / promotion</x:v>
      </x:c>
      <x:c r="J11" s="34" t="n">
        <x:v>24.43</x:v>
      </x:c>
      <x:c r="K11" s="35" t="n">
        <x:v>1</x:v>
      </x:c>
      <x:c r="L11" s="32" t="str">
        <x:v>CUST-DIRECT / AUTH-RESELL</x:v>
      </x:c>
      <x:c r="M11" s="32" t="str">
        <x:v>CSP path exists; Dirtyworks authorization not recorded</x:v>
      </x:c>
      <x:c r="N11" s="32" t="str">
        <x:v>Manage</x:v>
      </x:c>
      <x:c r="O11" s="32" t="str">
        <x:v>Conditional</x:v>
      </x:c>
      <x:c r="P11" s="32" t="str">
        <x:v>Qualifying Microsoft 365 plan; up to 300 users</x:v>
      </x:c>
      <x:c r="Q11" s="32" t="str">
        <x:v>Promotional Canadian price; verify commitment, base licence, and availability</x:v>
      </x:c>
      <x:c r="R11" s="32" t="str">
        <x:v>https://www.microsoft.com/en-ca/microsoft-365-copilot/pricing</x:v>
      </x:c>
      <x:c r="S11" s="32" t="str">
        <x:v>2026-08-25</x:v>
      </x:c>
    </x:row>
    <x:row r="12" ht="48" customHeight="1">
      <x:c r="A12" s="32" t="str">
        <x:v>MS-COPILOT-CHAT</x:v>
      </x:c>
      <x:c r="B12" s="32" t="str">
        <x:v>WORK</x:v>
      </x:c>
      <x:c r="C12" s="32" t="str">
        <x:v>Microsoft</x:v>
      </x:c>
      <x:c r="D12" s="32" t="str">
        <x:v>Microsoft 365 Copilot Chat</x:v>
      </x:c>
      <x:c r="E12" s="32" t="str">
        <x:v>Included eligible-user access</x:v>
      </x:c>
      <x:c r="F12" s="32" t="str">
        <x:v>Secure chat for eligible M365 users</x:v>
      </x:c>
      <x:c r="G12" s="32" t="str">
        <x:v>Eligible user</x:v>
      </x:c>
      <x:c r="H12" s="32" t="str">
        <x:v>CAD</x:v>
      </x:c>
      <x:c r="I12" s="32" t="str">
        <x:v>Included</x:v>
      </x:c>
      <x:c r="J12" s="34" t="n">
        <x:v>0</x:v>
      </x:c>
      <x:c r="K12" s="35" t="n">
        <x:v>1</x:v>
      </x:c>
      <x:c r="L12" s="32" t="str">
        <x:v>CUST-DIRECT / AUTH-RESELL</x:v>
      </x:c>
      <x:c r="M12" s="32" t="str">
        <x:v>CSP path exists; Dirtyworks authorization not recorded</x:v>
      </x:c>
      <x:c r="N12" s="32" t="str">
        <x:v>Manage</x:v>
      </x:c>
      <x:c r="O12" s="32" t="str">
        <x:v>Conditional</x:v>
      </x:c>
      <x:c r="P12" s="32" t="str">
        <x:v>Eligible Microsoft 365 subscription</x:v>
      </x:c>
      <x:c r="Q12" s="32" t="str">
        <x:v>Licence may be included; deployment, policy, agents, and support are not zero effort</x:v>
      </x:c>
      <x:c r="R12" s="32" t="str">
        <x:v>https://www.microsoft.com/en-ca/microsoft-365-copilot/pricing</x:v>
      </x:c>
      <x:c r="S12" s="32" t="str">
        <x:v>2026-08-25</x:v>
      </x:c>
    </x:row>
    <x:row r="13" ht="48" customHeight="1">
      <x:c r="A13" s="32" t="str">
        <x:v>GO-WS-BUS-STD</x:v>
      </x:c>
      <x:c r="B13" s="32" t="str">
        <x:v>WORK</x:v>
      </x:c>
      <x:c r="C13" s="32" t="str">
        <x:v>Google</x:v>
      </x:c>
      <x:c r="D13" s="32" t="str">
        <x:v>Google Workspace</x:v>
      </x:c>
      <x:c r="E13" s="32" t="str">
        <x:v>Business Standard</x:v>
      </x:c>
      <x:c r="F13" s="32" t="str">
        <x:v>Productivity suite with Gemini</x:v>
      </x:c>
      <x:c r="G13" s="32" t="str">
        <x:v>User / month</x:v>
      </x:c>
      <x:c r="H13" s="32" t="str">
        <x:v>CAD</x:v>
      </x:c>
      <x:c r="I13" s="32" t="str">
        <x:v>Annual commitment</x:v>
      </x:c>
      <x:c r="J13" s="34" t="n">
        <x:v>18.4</x:v>
      </x:c>
      <x:c r="K13" s="35" t="n">
        <x:v>1</x:v>
      </x:c>
      <x:c r="L13" s="32" t="str">
        <x:v>CUST-DIRECT / AUTH-RESELL</x:v>
      </x:c>
      <x:c r="M13" s="32" t="str">
        <x:v>Workspace reseller path exists; Dirtyworks authorization not recorded</x:v>
      </x:c>
      <x:c r="N13" s="32" t="str">
        <x:v>Manage</x:v>
      </x:c>
      <x:c r="O13" s="32" t="str">
        <x:v>Conditional</x:v>
      </x:c>
      <x:c r="P13" s="32" t="str">
        <x:v>Workspace tenant; max 300 on business plans</x:v>
      </x:c>
      <x:c r="Q13" s="32" t="str">
        <x:v>Core-suite choice, not a simple AI add-on; confirm migration/overlap</x:v>
      </x:c>
      <x:c r="R13" s="32" t="str">
        <x:v>https://workspace.google.com/intl/en_ca/business/</x:v>
      </x:c>
      <x:c r="S13" s="32" t="str">
        <x:v>2026-08-25</x:v>
      </x:c>
    </x:row>
    <x:row r="14" ht="48" customHeight="1">
      <x:c r="A14" s="32" t="str">
        <x:v>GH-COPILOT-BUS</x:v>
      </x:c>
      <x:c r="B14" s="32" t="str">
        <x:v>BUILD</x:v>
      </x:c>
      <x:c r="C14" s="32" t="str">
        <x:v>GitHub</x:v>
      </x:c>
      <x:c r="D14" s="32" t="str">
        <x:v>GitHub Copilot</x:v>
      </x:c>
      <x:c r="E14" s="32" t="str">
        <x:v>Business</x:v>
      </x:c>
      <x:c r="F14" s="32" t="str">
        <x:v>Coding assistant and policy</x:v>
      </x:c>
      <x:c r="G14" s="32" t="str">
        <x:v>Granted seat / month</x:v>
      </x:c>
      <x:c r="H14" s="32" t="str">
        <x:v>USD</x:v>
      </x:c>
      <x:c r="I14" s="32" t="str">
        <x:v>Monthly</x:v>
      </x:c>
      <x:c r="J14" s="34" t="n">
        <x:v>19</x:v>
      </x:c>
      <x:c r="K14" s="35" t="n">
        <x:v>1</x:v>
      </x:c>
      <x:c r="L14" s="32" t="str">
        <x:v>CUST-DIRECT</x:v>
      </x:c>
      <x:c r="M14" s="32" t="str">
        <x:v>Resale right not verified</x:v>
      </x:c>
      <x:c r="N14" s="32" t="str">
        <x:v>Manage</x:v>
      </x:c>
      <x:c r="O14" s="32" t="str">
        <x:v>Conditional</x:v>
      </x:c>
      <x:c r="P14" s="32" t="str">
        <x:v>GitHub organization or enterprise</x:v>
      </x:c>
      <x:c r="Q14" s="32" t="str">
        <x:v>Verify current self-service organization signup availability</x:v>
      </x:c>
      <x:c r="R14" s="32" t="str">
        <x:v>https://docs.github.com/en/copilot/get-started/plans</x:v>
      </x:c>
      <x:c r="S14" s="32" t="str">
        <x:v>2026-08-25</x:v>
      </x:c>
    </x:row>
    <x:row r="15" ht="48" customHeight="1">
      <x:c r="A15" s="32" t="str">
        <x:v>PX-ENT-PRO</x:v>
      </x:c>
      <x:c r="B15" s="32" t="str">
        <x:v>FIND</x:v>
      </x:c>
      <x:c r="C15" s="32" t="str">
        <x:v>Perplexity</x:v>
      </x:c>
      <x:c r="D15" s="32" t="str">
        <x:v>Perplexity Enterprise</x:v>
      </x:c>
      <x:c r="E15" s="32" t="str">
        <x:v>Enterprise Pro</x:v>
      </x:c>
      <x:c r="F15" s="32" t="str">
        <x:v>Research and web-grounded answers</x:v>
      </x:c>
      <x:c r="G15" s="32" t="str">
        <x:v>Seat / month</x:v>
      </x:c>
      <x:c r="H15" s="32" t="str">
        <x:v>USD</x:v>
      </x:c>
      <x:c r="I15" s="32" t="str">
        <x:v>Annual equivalent</x:v>
      </x:c>
      <x:c r="J15" s="34" t="n">
        <x:v>33.33</x:v>
      </x:c>
      <x:c r="K15" s="35" t="n">
        <x:v>1</x:v>
      </x:c>
      <x:c r="L15" s="32" t="str">
        <x:v>CUST-DIRECT</x:v>
      </x:c>
      <x:c r="M15" s="32" t="str">
        <x:v>Resale right not verified</x:v>
      </x:c>
      <x:c r="N15" s="32" t="str">
        <x:v>Manage</x:v>
      </x:c>
      <x:c r="O15" s="32" t="str">
        <x:v>Candidate</x:v>
      </x:c>
      <x:c r="P15" s="32" t="str">
        <x:v>Enterprise organization</x:v>
      </x:c>
      <x:c r="Q15" s="32" t="str">
        <x:v>Annual equivalent of USD 400; monthly option differs</x:v>
      </x:c>
      <x:c r="R15" s="32" t="str">
        <x:v>https://www.perplexity.ai/help-center/en/articles/12742827-perplexity-enterprise-onboarding-guide</x:v>
      </x:c>
      <x:c r="S15" s="32" t="str">
        <x:v>2026-08-25</x:v>
      </x:c>
    </x:row>
    <x:row r="16" ht="48" customHeight="1">
      <x:c r="A16" s="32" t="str">
        <x:v>NO-BUS</x:v>
      </x:c>
      <x:c r="B16" s="32" t="str">
        <x:v>MAKE</x:v>
      </x:c>
      <x:c r="C16" s="32" t="str">
        <x:v>Notion</x:v>
      </x:c>
      <x:c r="D16" s="32" t="str">
        <x:v>Notion</x:v>
      </x:c>
      <x:c r="E16" s="32" t="str">
        <x:v>Business</x:v>
      </x:c>
      <x:c r="F16" s="32" t="str">
        <x:v>Workspace, knowledge, and AI</x:v>
      </x:c>
      <x:c r="G16" s="32" t="str">
        <x:v>Member / month</x:v>
      </x:c>
      <x:c r="H16" s="32" t="str">
        <x:v>USD</x:v>
      </x:c>
      <x:c r="I16" s="32" t="str">
        <x:v>Public price basis; verify</x:v>
      </x:c>
      <x:c r="J16" s="34" t="n">
        <x:v>20</x:v>
      </x:c>
      <x:c r="K16" s="35" t="n">
        <x:v>1</x:v>
      </x:c>
      <x:c r="L16" s="32" t="str">
        <x:v>CUST-DIRECT</x:v>
      </x:c>
      <x:c r="M16" s="32" t="str">
        <x:v>Resale right not verified</x:v>
      </x:c>
      <x:c r="N16" s="32" t="str">
        <x:v>Manage</x:v>
      </x:c>
      <x:c r="O16" s="32" t="str">
        <x:v>Candidate</x:v>
      </x:c>
      <x:c r="P16" s="32" t="str">
        <x:v>Notion workspace</x:v>
      </x:c>
      <x:c r="Q16" s="32" t="str">
        <x:v>Member/guest/AI-agent billing and export rules require review</x:v>
      </x:c>
      <x:c r="R16" s="32" t="str">
        <x:v>https://www.notion.com/pricing</x:v>
      </x:c>
      <x:c r="S16" s="32" t="str">
        <x:v>2026-08-25</x:v>
      </x:c>
    </x:row>
    <x:row r="17" ht="48" customHeight="1">
      <x:c r="A17" s="32" t="str">
        <x:v>CA-BUS</x:v>
      </x:c>
      <x:c r="B17" s="32" t="str">
        <x:v>MAKE</x:v>
      </x:c>
      <x:c r="C17" s="32" t="str">
        <x:v>Canva</x:v>
      </x:c>
      <x:c r="D17" s="32" t="str">
        <x:v>Canva Business</x:v>
      </x:c>
      <x:c r="E17" s="32" t="str">
        <x:v>Business</x:v>
      </x:c>
      <x:c r="F17" s="32" t="str">
        <x:v>Design and AI content</x:v>
      </x:c>
      <x:c r="G17" s="32" t="str">
        <x:v>Person / month</x:v>
      </x:c>
      <x:c r="H17" s="32" t="str">
        <x:v>USD</x:v>
      </x:c>
      <x:c r="I17" s="32" t="str">
        <x:v>Annual equivalent</x:v>
      </x:c>
      <x:c r="J17" s="34" t="n">
        <x:v>20.83</x:v>
      </x:c>
      <x:c r="K17" s="35" t="n">
        <x:v>1</x:v>
      </x:c>
      <x:c r="L17" s="32" t="str">
        <x:v>CUST-DIRECT</x:v>
      </x:c>
      <x:c r="M17" s="32" t="str">
        <x:v>Resale right not verified</x:v>
      </x:c>
      <x:c r="N17" s="32" t="str">
        <x:v>Register</x:v>
      </x:c>
      <x:c r="O17" s="32" t="str">
        <x:v>Candidate</x:v>
      </x:c>
      <x:c r="P17" s="32" t="str">
        <x:v>Business team</x:v>
      </x:c>
      <x:c r="Q17" s="32" t="str">
        <x:v>Annual equivalent of USD 250/person; tax excluded</x:v>
      </x:c>
      <x:c r="R17" s="32" t="str">
        <x:v>https://www.canva.com/pricing/</x:v>
      </x:c>
      <x:c r="S17" s="32" t="str">
        <x:v>2026-08-25</x:v>
      </x:c>
    </x:row>
    <x:row r="18" ht="48" customHeight="1">
      <x:c r="A18" s="32" t="str">
        <x:v>MJ-PRO</x:v>
      </x:c>
      <x:c r="B18" s="32" t="str">
        <x:v>MAKE</x:v>
      </x:c>
      <x:c r="C18" s="32" t="str">
        <x:v>Midjourney</x:v>
      </x:c>
      <x:c r="D18" s="32" t="str">
        <x:v>Midjourney</x:v>
      </x:c>
      <x:c r="E18" s="32" t="str">
        <x:v>Pro</x:v>
      </x:c>
      <x:c r="F18" s="32" t="str">
        <x:v>Image generation with Stealth</x:v>
      </x:c>
      <x:c r="G18" s="32" t="str">
        <x:v>Subscription / user / month</x:v>
      </x:c>
      <x:c r="H18" s="32" t="str">
        <x:v>USD</x:v>
      </x:c>
      <x:c r="I18" s="32" t="str">
        <x:v>Annual equivalent</x:v>
      </x:c>
      <x:c r="J18" s="34" t="n">
        <x:v>48</x:v>
      </x:c>
      <x:c r="K18" s="35" t="n">
        <x:v>1</x:v>
      </x:c>
      <x:c r="L18" s="32" t="str">
        <x:v>CUST-DIRECT</x:v>
      </x:c>
      <x:c r="M18" s="32" t="str">
        <x:v>Resale and organization admin not verified</x:v>
      </x:c>
      <x:c r="N18" s="32" t="str">
        <x:v>Register</x:v>
      </x:c>
      <x:c r="O18" s="32" t="str">
        <x:v>Conditional</x:v>
      </x:c>
      <x:c r="P18" s="32" t="str">
        <x:v>Companies &gt;USD 1M gross revenue require Pro or Mega</x:v>
      </x:c>
      <x:c r="Q18" s="32" t="str">
        <x:v>Individual-account administration constraints; annual price is 20% below monthly</x:v>
      </x:c>
      <x:c r="R18" s="32" t="str">
        <x:v>https://docs.midjourney.com/hc/en-us/articles/27870484040333-Comparing-Midjourney-Plans</x:v>
      </x:c>
      <x:c r="S18" s="32" t="str">
        <x:v>2026-08-25</x:v>
      </x:c>
    </x:row>
    <x:row r="19" ht="48" customHeight="1">
      <x:c r="A19" s="32" t="str">
        <x:v>MJ-MEGA</x:v>
      </x:c>
      <x:c r="B19" s="32" t="str">
        <x:v>MAKE</x:v>
      </x:c>
      <x:c r="C19" s="32" t="str">
        <x:v>Midjourney</x:v>
      </x:c>
      <x:c r="D19" s="32" t="str">
        <x:v>Midjourney</x:v>
      </x:c>
      <x:c r="E19" s="32" t="str">
        <x:v>Mega</x:v>
      </x:c>
      <x:c r="F19" s="32" t="str">
        <x:v>High-volume image generation with Stealth</x:v>
      </x:c>
      <x:c r="G19" s="32" t="str">
        <x:v>Subscription / user / month</x:v>
      </x:c>
      <x:c r="H19" s="32" t="str">
        <x:v>USD</x:v>
      </x:c>
      <x:c r="I19" s="32" t="str">
        <x:v>Annual equivalent</x:v>
      </x:c>
      <x:c r="J19" s="34" t="n">
        <x:v>96</x:v>
      </x:c>
      <x:c r="K19" s="35" t="n">
        <x:v>1</x:v>
      </x:c>
      <x:c r="L19" s="32" t="str">
        <x:v>CUST-DIRECT</x:v>
      </x:c>
      <x:c r="M19" s="32" t="str">
        <x:v>Resale and organization admin not verified</x:v>
      </x:c>
      <x:c r="N19" s="32" t="str">
        <x:v>Register</x:v>
      </x:c>
      <x:c r="O19" s="32" t="str">
        <x:v>Conditional</x:v>
      </x:c>
      <x:c r="P19" s="32" t="str">
        <x:v>Companies &gt;USD 1M gross revenue may use Pro or Mega</x:v>
      </x:c>
      <x:c r="Q19" s="32" t="str">
        <x:v>Individual-account administration constraints; annual price is 20% below monthly</x:v>
      </x:c>
      <x:c r="R19" s="32" t="str">
        <x:v>https://docs.midjourney.com/hc/en-us/articles/27870484040333-Comparing-Midjourney-Plans</x:v>
      </x:c>
      <x:c r="S19" s="32" t="str">
        <x:v>2026-08-25</x:v>
      </x:c>
    </x:row>
    <x:row r="20" ht="48" customHeight="1">
      <x:c r="A20" s="32" t="str">
        <x:v>FA-TEAM</x:v>
      </x:c>
      <x:c r="B20" s="32" t="str">
        <x:v>MAKE</x:v>
      </x:c>
      <x:c r="C20" s="32" t="str">
        <x:v>Fathom</x:v>
      </x:c>
      <x:c r="D20" s="32" t="str">
        <x:v>Fathom</x:v>
      </x:c>
      <x:c r="E20" s="32" t="str">
        <x:v>Team / Business — verify</x:v>
      </x:c>
      <x:c r="F20" s="32" t="str">
        <x:v>Meeting capture and notes</x:v>
      </x:c>
      <x:c r="G20" s="32" t="str">
        <x:v>User / month</x:v>
      </x:c>
      <x:c r="H20" s="32" t="str">
        <x:v>USD</x:v>
      </x:c>
      <x:c r="I20" s="32" t="str">
        <x:v>Verify</x:v>
      </x:c>
      <x:c r="J20" s="34" t="n">
        <x:v>0</x:v>
      </x:c>
      <x:c r="K20" s="35" t="n">
        <x:v>1</x:v>
      </x:c>
      <x:c r="L20" s="32" t="str">
        <x:v>CUST-DIRECT / VERIFY</x:v>
      </x:c>
      <x:c r="M20" s="32" t="str">
        <x:v>Price and resale right not verified</x:v>
      </x:c>
      <x:c r="N20" s="32" t="str">
        <x:v>Manage</x:v>
      </x:c>
      <x:c r="O20" s="32" t="str">
        <x:v>Conditional</x:v>
      </x:c>
      <x:c r="P20" s="32" t="str">
        <x:v>Meeting platform and records policy</x:v>
      </x:c>
      <x:c r="Q20" s="32" t="str">
        <x:v>Public plan naming/pricing changed; enter vendor quote as override</x:v>
      </x:c>
      <x:c r="R20" s="32" t="str">
        <x:v>https://fathom.video/pricing</x:v>
      </x:c>
      <x:c r="S20" s="32" t="str">
        <x:v>2026-08-25</x:v>
      </x:c>
    </x:row>
    <x:row r="21" ht="48" customHeight="1">
      <x:c r="A21" s="32" t="str">
        <x:v>ZA-TEAM</x:v>
      </x:c>
      <x:c r="B21" s="32" t="str">
        <x:v>MOVE</x:v>
      </x:c>
      <x:c r="C21" s="32" t="str">
        <x:v>Zapier</x:v>
      </x:c>
      <x:c r="D21" s="32" t="str">
        <x:v>Zapier</x:v>
      </x:c>
      <x:c r="E21" s="32" t="str">
        <x:v>Team</x:v>
      </x:c>
      <x:c r="F21" s="32" t="str">
        <x:v>Workflow automation</x:v>
      </x:c>
      <x:c r="G21" s="32" t="str">
        <x:v>Workspace / month</x:v>
      </x:c>
      <x:c r="H21" s="32" t="str">
        <x:v>USD</x:v>
      </x:c>
      <x:c r="I21" s="32" t="str">
        <x:v>Public starting price</x:v>
      </x:c>
      <x:c r="J21" s="34" t="n">
        <x:v>69</x:v>
      </x:c>
      <x:c r="K21" s="35" t="n">
        <x:v>1</x:v>
      </x:c>
      <x:c r="L21" s="32" t="str">
        <x:v>CUST-DIRECT</x:v>
      </x:c>
      <x:c r="M21" s="32" t="str">
        <x:v>Resale right not verified</x:v>
      </x:c>
      <x:c r="N21" s="32" t="str">
        <x:v>Operate</x:v>
      </x:c>
      <x:c r="O21" s="32" t="str">
        <x:v>Conditional</x:v>
      </x:c>
      <x:c r="P21" s="32" t="str">
        <x:v>Connected-system credentials and owners</x:v>
      </x:c>
      <x:c r="Q21" s="32" t="str">
        <x:v>Task allowance/overage and current plan price must be verified</x:v>
      </x:c>
      <x:c r="R21" s="32" t="str">
        <x:v>https://zapier.com/pricing</x:v>
      </x:c>
      <x:c r="S21" s="32" t="str">
        <x:v>2026-08-25</x:v>
      </x:c>
    </x:row>
    <x:row r="22" ht="48" customHeight="1">
      <x:c r="A22" s="32" t="str">
        <x:v>MK-TEAM</x:v>
      </x:c>
      <x:c r="B22" s="32" t="str">
        <x:v>MOVE</x:v>
      </x:c>
      <x:c r="C22" s="32" t="str">
        <x:v>Make</x:v>
      </x:c>
      <x:c r="D22" s="32" t="str">
        <x:v>Make</x:v>
      </x:c>
      <x:c r="E22" s="32" t="str">
        <x:v>Teams</x:v>
      </x:c>
      <x:c r="F22" s="32" t="str">
        <x:v>Workflow automation</x:v>
      </x:c>
      <x:c r="G22" s="32" t="str">
        <x:v>Organization / month</x:v>
      </x:c>
      <x:c r="H22" s="32" t="str">
        <x:v>USD</x:v>
      </x:c>
      <x:c r="I22" s="32" t="str">
        <x:v>10k-credit public tier</x:v>
      </x:c>
      <x:c r="J22" s="34" t="n">
        <x:v>38</x:v>
      </x:c>
      <x:c r="K22" s="35" t="n">
        <x:v>1</x:v>
      </x:c>
      <x:c r="L22" s="32" t="str">
        <x:v>CUST-DIRECT</x:v>
      </x:c>
      <x:c r="M22" s="32" t="str">
        <x:v>Resale right not verified</x:v>
      </x:c>
      <x:c r="N22" s="32" t="str">
        <x:v>Operate</x:v>
      </x:c>
      <x:c r="O22" s="32" t="str">
        <x:v>Conditional</x:v>
      </x:c>
      <x:c r="P22" s="32" t="str">
        <x:v>Connected-system credentials and owners</x:v>
      </x:c>
      <x:c r="Q22" s="32" t="str">
        <x:v>Credit usage/overage and plan features must be verified</x:v>
      </x:c>
      <x:c r="R22" s="32" t="str">
        <x:v>https://www.make.com/en/pricing</x:v>
      </x:c>
      <x:c r="S22" s="32" t="str">
        <x:v>2026-08-25</x:v>
      </x:c>
    </x:row>
    <x:row r="23" ht="48" customHeight="1">
      <x:c r="A23" s="32" t="str">
        <x:v>N8N-MANAGED</x:v>
      </x:c>
      <x:c r="B23" s="32" t="str">
        <x:v>MOVE</x:v>
      </x:c>
      <x:c r="C23" s="32" t="str">
        <x:v>n8n</x:v>
      </x:c>
      <x:c r="D23" s="32" t="str">
        <x:v>n8n</x:v>
      </x:c>
      <x:c r="E23" s="32" t="str">
        <x:v>Cloud or customer-owned deployment</x:v>
      </x:c>
      <x:c r="F23" s="32" t="str">
        <x:v>Workflow automation</x:v>
      </x:c>
      <x:c r="G23" s="32" t="str">
        <x:v>Monthly vendor/infrastructure budget</x:v>
      </x:c>
      <x:c r="H23" s="32" t="str">
        <x:v>USD</x:v>
      </x:c>
      <x:c r="I23" s="32" t="str">
        <x:v>Quote / usage</x:v>
      </x:c>
      <x:c r="J23" s="34" t="n">
        <x:v>1</x:v>
      </x:c>
      <x:c r="K23" s="35" t="n">
        <x:v>1</x:v>
      </x:c>
      <x:c r="L23" s="32" t="str">
        <x:v>CUST-DIRECT / OSS-MANAGED / VERIFY</x:v>
      </x:c>
      <x:c r="M23" s="32" t="str">
        <x:v>Self-hosting exists; managed-service/licence rights require review</x:v>
      </x:c>
      <x:c r="N23" s="32" t="str">
        <x:v>Operate</x:v>
      </x:c>
      <x:c r="O23" s="32" t="str">
        <x:v>Conditional</x:v>
      </x:c>
      <x:c r="P23" s="32" t="str">
        <x:v>Cloud or customer infrastructure; licence review</x:v>
      </x:c>
      <x:c r="Q23" s="32" t="str">
        <x:v>Quantity is estimated USD monthly budget; security, backup, updates, and recovery required</x:v>
      </x:c>
      <x:c r="R23" s="32" t="str">
        <x:v>https://n8n.io/pricing/</x:v>
      </x:c>
      <x:c r="S23" s="32" t="str">
        <x:v>2026-08-25</x:v>
      </x:c>
    </x:row>
    <x:row r="24" ht="48" customHeight="1">
      <x:c r="A24" s="32" t="str">
        <x:v>SB-PRO</x:v>
      </x:c>
      <x:c r="B24" s="32" t="str">
        <x:v>HOLD</x:v>
      </x:c>
      <x:c r="C24" s="32" t="str">
        <x:v>Supabase</x:v>
      </x:c>
      <x:c r="D24" s="32" t="str">
        <x:v>Supabase</x:v>
      </x:c>
      <x:c r="E24" s="32" t="str">
        <x:v>Pro</x:v>
      </x:c>
      <x:c r="F24" s="32" t="str">
        <x:v>Application database and backend</x:v>
      </x:c>
      <x:c r="G24" s="32" t="str">
        <x:v>Project / month</x:v>
      </x:c>
      <x:c r="H24" s="32" t="str">
        <x:v>USD</x:v>
      </x:c>
      <x:c r="I24" s="32" t="str">
        <x:v>Starting price plus usage</x:v>
      </x:c>
      <x:c r="J24" s="34" t="n">
        <x:v>25</x:v>
      </x:c>
      <x:c r="K24" s="35" t="n">
        <x:v>1</x:v>
      </x:c>
      <x:c r="L24" s="32" t="str">
        <x:v>CUST-DIRECT</x:v>
      </x:c>
      <x:c r="M24" s="32" t="str">
        <x:v>Resale right not verified</x:v>
      </x:c>
      <x:c r="N24" s="32" t="str">
        <x:v>Operate</x:v>
      </x:c>
      <x:c r="O24" s="32" t="str">
        <x:v>Conditional</x:v>
      </x:c>
      <x:c r="P24" s="32" t="str">
        <x:v>Customer-owned organization/project</x:v>
      </x:c>
      <x:c r="Q24" s="32" t="str">
        <x:v>Usage, backup, region, access, and recovery requirements apply</x:v>
      </x:c>
      <x:c r="R24" s="32" t="str">
        <x:v>https://supabase.com/pricing</x:v>
      </x:c>
      <x:c r="S24" s="32" t="str">
        <x:v>2026-08-25</x:v>
      </x:c>
    </x:row>
    <x:row r="25" ht="48" customHeight="1">
      <x:c r="A25" s="32" t="str">
        <x:v>PC-STANDARD</x:v>
      </x:c>
      <x:c r="B25" s="32" t="str">
        <x:v>HOLD</x:v>
      </x:c>
      <x:c r="C25" s="32" t="str">
        <x:v>Pinecone</x:v>
      </x:c>
      <x:c r="D25" s="32" t="str">
        <x:v>Pinecone</x:v>
      </x:c>
      <x:c r="E25" s="32" t="str">
        <x:v>Standard</x:v>
      </x:c>
      <x:c r="F25" s="32" t="str">
        <x:v>Managed vector database</x:v>
      </x:c>
      <x:c r="G25" s="32" t="str">
        <x:v>Organization / month minimum</x:v>
      </x:c>
      <x:c r="H25" s="32" t="str">
        <x:v>USD</x:v>
      </x:c>
      <x:c r="I25" s="32" t="str">
        <x:v>Minimum usage</x:v>
      </x:c>
      <x:c r="J25" s="34" t="n">
        <x:v>50</x:v>
      </x:c>
      <x:c r="K25" s="35" t="n">
        <x:v>1</x:v>
      </x:c>
      <x:c r="L25" s="32" t="str">
        <x:v>CUST-DIRECT</x:v>
      </x:c>
      <x:c r="M25" s="32" t="str">
        <x:v>Resale right not verified</x:v>
      </x:c>
      <x:c r="N25" s="32" t="str">
        <x:v>Operate</x:v>
      </x:c>
      <x:c r="O25" s="32" t="str">
        <x:v>Conditional</x:v>
      </x:c>
      <x:c r="P25" s="32" t="str">
        <x:v>Customer-owned organization/project</x:v>
      </x:c>
      <x:c r="Q25" s="32" t="str">
        <x:v>Monthly minimum plus usage; data/region and deletion controls require review</x:v>
      </x:c>
      <x:c r="R25" s="32" t="str">
        <x:v>https://www.pinecone.io/pricing/</x:v>
      </x:c>
      <x:c r="S25" s="32" t="str">
        <x:v>2026-08-25</x:v>
      </x:c>
    </x:row>
    <x:row r="26" ht="48" customHeight="1">
      <x:c r="A26" s="32" t="str">
        <x:v>LF-CORE</x:v>
      </x:c>
      <x:c r="B26" s="32" t="str">
        <x:v>WATCH</x:v>
      </x:c>
      <x:c r="C26" s="32" t="str">
        <x:v>Langfuse</x:v>
      </x:c>
      <x:c r="D26" s="32" t="str">
        <x:v>Langfuse</x:v>
      </x:c>
      <x:c r="E26" s="32" t="str">
        <x:v>Core</x:v>
      </x:c>
      <x:c r="F26" s="32" t="str">
        <x:v>LLM tracing and evaluation</x:v>
      </x:c>
      <x:c r="G26" s="32" t="str">
        <x:v>Organization / month</x:v>
      </x:c>
      <x:c r="H26" s="32" t="str">
        <x:v>USD</x:v>
      </x:c>
      <x:c r="I26" s="32" t="str">
        <x:v>Monthly plus usage</x:v>
      </x:c>
      <x:c r="J26" s="34" t="n">
        <x:v>29</x:v>
      </x:c>
      <x:c r="K26" s="35" t="n">
        <x:v>1</x:v>
      </x:c>
      <x:c r="L26" s="32" t="str">
        <x:v>CUST-DIRECT / OSS-MANAGED</x:v>
      </x:c>
      <x:c r="M26" s="32" t="str">
        <x:v>Self-hosting available; verify licence/version obligations</x:v>
      </x:c>
      <x:c r="N26" s="32" t="str">
        <x:v>Operate</x:v>
      </x:c>
      <x:c r="O26" s="32" t="str">
        <x:v>Conditional</x:v>
      </x:c>
      <x:c r="P26" s="32" t="str">
        <x:v>Application instrumentation and telemetry policy</x:v>
      </x:c>
      <x:c r="Q26" s="32" t="str">
        <x:v>Hosted plan includes usage allowance; self-hosting still incurs infrastructure and operations</x:v>
      </x:c>
      <x:c r="R26" s="32" t="str">
        <x:v>https://langfuse.com/pricing</x:v>
      </x:c>
      <x:c r="S26" s="32" t="str">
        <x:v>2026-08-25</x:v>
      </x:c>
    </x:row>
    <x:row r="27" ht="48" customHeight="1">
      <x:c r="A27" s="32" t="str">
        <x:v>LS-PLUS</x:v>
      </x:c>
      <x:c r="B27" s="32" t="str">
        <x:v>WATCH</x:v>
      </x:c>
      <x:c r="C27" s="32" t="str">
        <x:v>LangChain</x:v>
      </x:c>
      <x:c r="D27" s="32" t="str">
        <x:v>LangSmith</x:v>
      </x:c>
      <x:c r="E27" s="32" t="str">
        <x:v>Plus</x:v>
      </x:c>
      <x:c r="F27" s="32" t="str">
        <x:v>LLM tracing and evaluation</x:v>
      </x:c>
      <x:c r="G27" s="32" t="str">
        <x:v>Seat / month</x:v>
      </x:c>
      <x:c r="H27" s="32" t="str">
        <x:v>USD</x:v>
      </x:c>
      <x:c r="I27" s="32" t="str">
        <x:v>Monthly plus usage</x:v>
      </x:c>
      <x:c r="J27" s="34" t="n">
        <x:v>39</x:v>
      </x:c>
      <x:c r="K27" s="35" t="n">
        <x:v>1</x:v>
      </x:c>
      <x:c r="L27" s="32" t="str">
        <x:v>CUST-DIRECT</x:v>
      </x:c>
      <x:c r="M27" s="32" t="str">
        <x:v>Resale right not verified</x:v>
      </x:c>
      <x:c r="N27" s="32" t="str">
        <x:v>Operate</x:v>
      </x:c>
      <x:c r="O27" s="32" t="str">
        <x:v>Conditional</x:v>
      </x:c>
      <x:c r="P27" s="32" t="str">
        <x:v>Application instrumentation and telemetry policy</x:v>
      </x:c>
      <x:c r="Q27" s="32" t="str">
        <x:v>Seat price excludes usage; verify current allowance and data controls</x:v>
      </x:c>
      <x:c r="R27" s="32" t="str">
        <x:v>https://www.langchain.com/pricing</x:v>
      </x:c>
      <x:c r="S27" s="32" t="str">
        <x:v>2026-08-25</x:v>
      </x:c>
    </x:row>
    <x:row r="28" ht="48" customHeight="1">
      <x:c r="A28" s="32" t="str">
        <x:v>AZ-OPENAI</x:v>
      </x:c>
      <x:c r="B28" s="32" t="str">
        <x:v>BUILD</x:v>
      </x:c>
      <x:c r="C28" s="32" t="str">
        <x:v>Microsoft Azure</x:v>
      </x:c>
      <x:c r="D28" s="32" t="str">
        <x:v>Azure OpenAI</x:v>
      </x:c>
      <x:c r="E28" s="32" t="str">
        <x:v>Consumption budget</x:v>
      </x:c>
      <x:c r="F28" s="32" t="str">
        <x:v>Enterprise model platform</x:v>
      </x:c>
      <x:c r="G28" s="32" t="str">
        <x:v>CAD monthly budget</x:v>
      </x:c>
      <x:c r="H28" s="32" t="str">
        <x:v>CAD</x:v>
      </x:c>
      <x:c r="I28" s="32" t="str">
        <x:v>Consumption</x:v>
      </x:c>
      <x:c r="J28" s="34" t="n">
        <x:v>1</x:v>
      </x:c>
      <x:c r="K28" s="35" t="n">
        <x:v>1</x:v>
      </x:c>
      <x:c r="L28" s="32" t="str">
        <x:v>CLOUD-MKT</x:v>
      </x:c>
      <x:c r="M28" s="32" t="str">
        <x:v>Customer Azure account; CSP only if authorized</x:v>
      </x:c>
      <x:c r="N28" s="32" t="str">
        <x:v>Operate</x:v>
      </x:c>
      <x:c r="O28" s="32" t="str">
        <x:v>Conditional</x:v>
      </x:c>
      <x:c r="P28" s="32" t="str">
        <x:v>Azure subscription, region, quotas, identity</x:v>
      </x:c>
      <x:c r="Q28" s="32" t="str">
        <x:v>Quantity is estimated CAD monthly usage budget; rates vary by model/deployment</x:v>
      </x:c>
      <x:c r="R28" s="32" t="str">
        <x:v>https://azure.microsoft.com/en-ca/pricing/details/cognitive-services/openai-service/</x:v>
      </x:c>
      <x:c r="S28" s="32" t="str">
        <x:v>2026-08-25</x:v>
      </x:c>
    </x:row>
    <x:row r="29" ht="48" customHeight="1">
      <x:c r="A29" s="32" t="str">
        <x:v>AWS-BEDROCK</x:v>
      </x:c>
      <x:c r="B29" s="32" t="str">
        <x:v>BUILD</x:v>
      </x:c>
      <x:c r="C29" s="32" t="str">
        <x:v>AWS</x:v>
      </x:c>
      <x:c r="D29" s="32" t="str">
        <x:v>Amazon Bedrock</x:v>
      </x:c>
      <x:c r="E29" s="32" t="str">
        <x:v>Consumption budget</x:v>
      </x:c>
      <x:c r="F29" s="32" t="str">
        <x:v>Enterprise model platform</x:v>
      </x:c>
      <x:c r="G29" s="32" t="str">
        <x:v>USD monthly budget</x:v>
      </x:c>
      <x:c r="H29" s="32" t="str">
        <x:v>USD</x:v>
      </x:c>
      <x:c r="I29" s="32" t="str">
        <x:v>Consumption</x:v>
      </x:c>
      <x:c r="J29" s="34" t="n">
        <x:v>1</x:v>
      </x:c>
      <x:c r="K29" s="35" t="n">
        <x:v>1</x:v>
      </x:c>
      <x:c r="L29" s="32" t="str">
        <x:v>CLOUD-MKT</x:v>
      </x:c>
      <x:c r="M29" s="32" t="str">
        <x:v>Customer AWS account / marketplace</x:v>
      </x:c>
      <x:c r="N29" s="32" t="str">
        <x:v>Operate</x:v>
      </x:c>
      <x:c r="O29" s="32" t="str">
        <x:v>Conditional</x:v>
      </x:c>
      <x:c r="P29" s="32" t="str">
        <x:v>AWS account, region, IAM, quotas</x:v>
      </x:c>
      <x:c r="Q29" s="32" t="str">
        <x:v>Quantity is estimated USD monthly usage budget; rates vary by model and mode</x:v>
      </x:c>
      <x:c r="R29" s="32" t="str">
        <x:v>https://aws.amazon.com/bedrock/pricing/</x:v>
      </x:c>
      <x:c r="S29" s="32" t="str">
        <x:v>2026-08-25</x:v>
      </x:c>
    </x:row>
    <x:row r="30" ht="48" customHeight="1">
      <x:c r="A30" s="32" t="str">
        <x:v>GV-VERTEX</x:v>
      </x:c>
      <x:c r="B30" s="32" t="str">
        <x:v>BUILD</x:v>
      </x:c>
      <x:c r="C30" s="32" t="str">
        <x:v>Google Cloud</x:v>
      </x:c>
      <x:c r="D30" s="32" t="str">
        <x:v>Vertex AI Generative AI</x:v>
      </x:c>
      <x:c r="E30" s="32" t="str">
        <x:v>Consumption budget</x:v>
      </x:c>
      <x:c r="F30" s="32" t="str">
        <x:v>Enterprise model platform</x:v>
      </x:c>
      <x:c r="G30" s="32" t="str">
        <x:v>USD monthly budget</x:v>
      </x:c>
      <x:c r="H30" s="32" t="str">
        <x:v>USD</x:v>
      </x:c>
      <x:c r="I30" s="32" t="str">
        <x:v>Consumption</x:v>
      </x:c>
      <x:c r="J30" s="34" t="n">
        <x:v>1</x:v>
      </x:c>
      <x:c r="K30" s="35" t="n">
        <x:v>1</x:v>
      </x:c>
      <x:c r="L30" s="32" t="str">
        <x:v>CLOUD-MKT</x:v>
      </x:c>
      <x:c r="M30" s="32" t="str">
        <x:v>Customer Google Cloud account / marketplace</x:v>
      </x:c>
      <x:c r="N30" s="32" t="str">
        <x:v>Operate</x:v>
      </x:c>
      <x:c r="O30" s="32" t="str">
        <x:v>Conditional</x:v>
      </x:c>
      <x:c r="P30" s="32" t="str">
        <x:v>Google Cloud project, region, IAM, quotas</x:v>
      </x:c>
      <x:c r="Q30" s="32" t="str">
        <x:v>Quantity is estimated USD monthly usage budget; rates vary by model and feature</x:v>
      </x:c>
      <x:c r="R30" s="32" t="str">
        <x:v>https://cloud.google.com/vertex-ai/generative-ai/pricing</x:v>
      </x:c>
      <x:c r="S30" s="32" t="str">
        <x:v>2026-08-25</x:v>
      </x:c>
    </x:row>
  </x:sheetData>
  <x:mergeCells>
    <x:mergeCell ref="A1:S1"/>
    <x:mergeCell ref="A2:S2"/>
  </x:mergeCells>
  <x:conditionalFormatting sqref="O5:O30">
    <x:cfRule type="containsText" dxfId="0" priority="1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f533977ead174f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2" hidden="0" customWidth="1"/>
    <x:col min="7" max="7" width="42" hidden="0" customWidth="1"/>
  </x:cols>
  <x:sheetData>
    <x:row r="1" ht="40" customHeight="1">
      <x:c r="A1" s="3" t="str">
        <x:v>DIRTYWORKS.AI / MANAGEMENT FEE SCHEDULE</x:v>
      </x:c>
      <x:c r="B1" s="3" t="str">
        <x:v>DIRTYWORKS.AI / MANAGEMENT FEE SCHEDULE</x:v>
      </x:c>
      <x:c r="C1" s="3" t="str">
        <x:v>DIRTYWORKS.AI / MANAGEMENT FEE SCHEDULE</x:v>
      </x:c>
      <x:c r="D1" s="3" t="str">
        <x:v>DIRTYWORKS.AI / MANAGEMENT FEE SCHEDULE</x:v>
      </x:c>
      <x:c r="E1" s="3" t="str">
        <x:v>DIRTYWORKS.AI / MANAGEMENT FEE SCHEDULE</x:v>
      </x:c>
      <x:c r="F1" s="3" t="str">
        <x:v>DIRTYWORKS.AI / MANAGEMENT FEE SCHEDULE</x:v>
      </x:c>
      <x:c r="G1" s="3" t="str">
        <x:v>DIRTYWORKS.AI / MANAGEMENT FEE SCHEDULE</x:v>
      </x:c>
    </x:row>
    <x:row r="2" ht="34" customHeight="1">
      <x:c r="A2" s="7" t="str">
        <x:v>Editable CAD hypotheses. These fees are separate from vendor software and consumption; test against delivery time and buyer willingness-to-pay.</x:v>
      </x:c>
      <x:c r="B2" s="7" t="str">
        <x:v>Editable CAD hypotheses. These fees are separate from vendor software and consumption; test against delivery time and buyer willingness-to-pay.</x:v>
      </x:c>
      <x:c r="C2" s="7" t="str">
        <x:v>Editable CAD hypotheses. These fees are separate from vendor software and consumption; test against delivery time and buyer willingness-to-pay.</x:v>
      </x:c>
      <x:c r="D2" s="7" t="str">
        <x:v>Editable CAD hypotheses. These fees are separate from vendor software and consumption; test against delivery time and buyer willingness-to-pay.</x:v>
      </x:c>
      <x:c r="E2" s="7" t="str">
        <x:v>Editable CAD hypotheses. These fees are separate from vendor software and consumption; test against delivery time and buyer willingness-to-pay.</x:v>
      </x:c>
      <x:c r="F2" s="7" t="str">
        <x:v>Editable CAD hypotheses. These fees are separate from vendor software and consumption; test against delivery time and buyer willingness-to-pay.</x:v>
      </x:c>
      <x:c r="G2" s="7" t="str">
        <x:v>Editable CAD hypotheses. These fees are separate from vendor software and consumption; test against delivery time and buyer willingness-to-pay.</x:v>
      </x:c>
    </x:row>
    <x:row r="4" ht="24" customHeight="1">
      <x:c r="A4" s="10" t="str">
        <x:v>WORKING TIERS</x:v>
      </x:c>
      <x:c r="B4" s="10" t="str">
        <x:v>WORKING TIERS</x:v>
      </x:c>
      <x:c r="C4" s="10" t="str">
        <x:v>WORKING TIERS</x:v>
      </x:c>
      <x:c r="D4" s="10" t="str">
        <x:v>WORKING TIERS</x:v>
      </x:c>
      <x:c r="E4" s="10" t="str">
        <x:v>WORKING TIERS</x:v>
      </x:c>
      <x:c r="F4" s="10" t="str">
        <x:v>WORKING TIERS</x:v>
      </x:c>
      <x:c r="G4" s="10" t="str">
        <x:v>WORKING TIERS</x:v>
      </x:c>
    </x:row>
    <x:row r="6" ht="34" customHeight="1">
      <x:c r="A6" s="26" t="str">
        <x:v>Tier</x:v>
      </x:c>
      <x:c r="B6" s="26" t="str">
        <x:v>Platform setup</x:v>
      </x:c>
      <x:c r="C6" s="26" t="str">
        <x:v>Per-user onboarding</x:v>
      </x:c>
      <x:c r="D6" s="26" t="str">
        <x:v>Monthly platform</x:v>
      </x:c>
      <x:c r="E6" s="26" t="str">
        <x:v>Per-user monthly admin</x:v>
      </x:c>
      <x:c r="F6" s="26" t="str">
        <x:v>Suitable for</x:v>
      </x:c>
      <x:c r="G6" s="26" t="str">
        <x:v>Included operating boundary</x:v>
      </x:c>
    </x:row>
    <x:row r="7" ht="48" customHeight="1">
      <x:c r="A7" s="19" t="str">
        <x:v>Register</x:v>
      </x:c>
      <x:c r="B7" s="39" t="n">
        <x:v>500</x:v>
      </x:c>
      <x:c r="C7" s="39" t="n">
        <x:v>25</x:v>
      </x:c>
      <x:c r="D7" s="39" t="n">
        <x:v>150</x:v>
      </x:c>
      <x:c r="E7" s="39" t="n">
        <x:v>5</x:v>
      </x:c>
      <x:c r="F7" s="19" t="str">
        <x:v>Low-risk user tools with limited integration</x:v>
      </x:c>
      <x:c r="G7" s="19" t="str">
        <x:v>Owner/billing register, standard setup, licence changes, quarterly inventory</x:v>
      </x:c>
    </x:row>
    <x:row r="8" ht="48" customHeight="1">
      <x:c r="A8" s="19" t="str">
        <x:v>Manage</x:v>
      </x:c>
      <x:c r="B8" s="39" t="n">
        <x:v>1500</x:v>
      </x:c>
      <x:c r="C8" s="39" t="n">
        <x:v>50</x:v>
      </x:c>
      <x:c r="D8" s="39" t="n">
        <x:v>450</x:v>
      </x:c>
      <x:c r="E8" s="39" t="n">
        <x:v>12</x:v>
      </x:c>
      <x:c r="F8" s="19" t="str">
        <x:v>Workforce tools connected to business information</x:v>
      </x:c>
      <x:c r="G8" s="19" t="str">
        <x:v>Lifecycle admin, core policy/configuration, spend controls, support triage, monthly review</x:v>
      </x:c>
    </x:row>
    <x:row r="9" ht="48" customHeight="1">
      <x:c r="A9" s="19" t="str">
        <x:v>Operate</x:v>
      </x:c>
      <x:c r="B9" s="39" t="n">
        <x:v>3500</x:v>
      </x:c>
      <x:c r="C9" s="39" t="n">
        <x:v>75</x:v>
      </x:c>
      <x:c r="D9" s="39" t="n">
        <x:v>1000</x:v>
      </x:c>
      <x:c r="E9" s="39" t="n">
        <x:v>20</x:v>
      </x:c>
      <x:c r="F9" s="19" t="str">
        <x:v>APIs, automation, databases, and business-integrated platforms</x:v>
      </x:c>
      <x:c r="G9" s="19" t="str">
        <x:v>Architecture/runbook, monitoring, incidents, cost controls, change and recovery procedures</x:v>
      </x:c>
    </x:row>
    <x:row r="12" ht="24" customHeight="1">
      <x:c r="A12" s="10" t="str">
        <x:v>ALTERNATIVE POLICIES TO TEST</x:v>
      </x:c>
      <x:c r="B12" s="10" t="str">
        <x:v>ALTERNATIVE POLICIES TO TEST</x:v>
      </x:c>
      <x:c r="C12" s="10" t="str">
        <x:v>ALTERNATIVE POLICIES TO TEST</x:v>
      </x:c>
      <x:c r="D12" s="10" t="str">
        <x:v>ALTERNATIVE POLICIES TO TEST</x:v>
      </x:c>
      <x:c r="E12" s="10" t="str">
        <x:v>ALTERNATIVE POLICIES TO TEST</x:v>
      </x:c>
      <x:c r="F12" s="10" t="str">
        <x:v>ALTERNATIVE POLICIES TO TEST</x:v>
      </x:c>
      <x:c r="G12" s="10" t="str">
        <x:v>ALTERNATIVE POLICIES TO TEST</x:v>
      </x:c>
    </x:row>
    <x:row r="13" ht="34" customHeight="1">
      <x:c r="A13" s="26" t="str">
        <x:v>Policy</x:v>
      </x:c>
      <x:c r="B13" s="26" t="str">
        <x:v>Mechanism</x:v>
      </x:c>
      <x:c r="C13" s="26" t="str">
        <x:v>Strength</x:v>
      </x:c>
      <x:c r="D13" s="26" t="str">
        <x:v>Constraint</x:v>
      </x:c>
    </x:row>
    <x:row r="14" ht="42" customHeight="1">
      <x:c r="A14" s="19" t="str">
        <x:v>Transparent operating layer</x:v>
      </x:c>
      <x:c r="B14" s="19" t="str">
        <x:v>Platform + managed-user fees; vendor billed separately</x:v>
      </x:c>
      <x:c r="C14" s="19" t="str">
        <x:v>Auditable and independent of resale rights</x:v>
      </x:c>
      <x:c r="D14" s="19" t="str">
        <x:v>More line items</x:v>
      </x:c>
    </x:row>
    <x:row r="15" ht="42" customHeight="1">
      <x:c r="A15" s="19" t="str">
        <x:v>Portfolio bundle</x:v>
      </x:c>
      <x:c r="B15" s="19" t="str">
        <x:v>Defined number of tools/users/reviews/changes</x:v>
      </x:c>
      <x:c r="C15" s="19" t="str">
        <x:v>Simple buying experience</x:v>
      </x:c>
      <x:c r="D15" s="19" t="str">
        <x:v>Requires measured scope and strong limits</x:v>
      </x:c>
    </x:row>
    <x:row r="16" ht="42" customHeight="1">
      <x:c r="A16" s="19" t="str">
        <x:v>Authorized resale + management</x:v>
      </x:c>
      <x:c r="B16" s="19" t="str">
        <x:v>One invoice where contractually permitted</x:v>
      </x:c>
      <x:c r="C16" s="19" t="str">
        <x:v>Buyer convenience and potential margin</x:v>
      </x:c>
      <x:c r="D16" s="19" t="str">
        <x:v>Credit, tax, renewal, cancellation, and vendor risk</x:v>
      </x:c>
    </x:row>
  </x:sheetData>
  <x:mergeCells>
    <x:mergeCell ref="A1:G1"/>
    <x:mergeCell ref="A2:G2"/>
    <x:mergeCell ref="A4:G4"/>
    <x:mergeCell ref="A12:G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0" hidden="0" customWidth="1"/>
    <x:col min="3" max="3" width="14" hidden="0" customWidth="1"/>
    <x:col min="4" max="4" width="40" hidden="0" customWidth="1"/>
    <x:col min="5" max="5" width="40" hidden="0" customWidth="1"/>
    <x:col min="6" max="6" width="20" hidden="0" customWidth="1"/>
  </x:cols>
  <x:sheetData>
    <x:row r="1" ht="40" customHeight="1">
      <x:c r="A1" s="3" t="str">
        <x:v>SOURCE REGISTER</x:v>
      </x:c>
      <x:c r="B1" s="3" t="str">
        <x:v>SOURCE REGISTER</x:v>
      </x:c>
      <x:c r="C1" s="3" t="str">
        <x:v>SOURCE REGISTER</x:v>
      </x:c>
      <x:c r="D1" s="3" t="str">
        <x:v>SOURCE REGISTER</x:v>
      </x:c>
      <x:c r="E1" s="3" t="str">
        <x:v>SOURCE REGISTER</x:v>
      </x:c>
      <x:c r="F1" s="3" t="str">
        <x:v>SOURCE REGISTER</x:v>
      </x:c>
    </x:row>
    <x:row r="2" ht="34" customHeight="1">
      <x:c r="A2" s="7" t="str">
        <x:v>Official/public pages used for planning anchors. Re-open the relevant source and vendor contract before issuing a binding quote.</x:v>
      </x:c>
      <x:c r="B2" s="7" t="str">
        <x:v>Official/public pages used for planning anchors. Re-open the relevant source and vendor contract before issuing a binding quote.</x:v>
      </x:c>
      <x:c r="C2" s="7" t="str">
        <x:v>Official/public pages used for planning anchors. Re-open the relevant source and vendor contract before issuing a binding quote.</x:v>
      </x:c>
      <x:c r="D2" s="7" t="str">
        <x:v>Official/public pages used for planning anchors. Re-open the relevant source and vendor contract before issuing a binding quote.</x:v>
      </x:c>
      <x:c r="E2" s="7" t="str">
        <x:v>Official/public pages used for planning anchors. Re-open the relevant source and vendor contract before issuing a binding quote.</x:v>
      </x:c>
      <x:c r="F2" s="7" t="str">
        <x:v>Official/public pages used for planning anchors. Re-open the relevant source and vendor contract before issuing a binding quote.</x:v>
      </x:c>
    </x:row>
    <x:row r="4" ht="34" customHeight="1">
      <x:c r="A4" s="26" t="str">
        <x:v>Vendor / topic</x:v>
      </x:c>
      <x:c r="B4" s="26" t="str">
        <x:v>Source</x:v>
      </x:c>
      <x:c r="C4" s="26" t="str">
        <x:v>Captured</x:v>
      </x:c>
      <x:c r="D4" s="26" t="str">
        <x:v>What it supports</x:v>
      </x:c>
      <x:c r="E4" s="26" t="str">
        <x:v>Quote-time check</x:v>
      </x:c>
      <x:c r="F4" s="26" t="str">
        <x:v>Confidence</x:v>
      </x:c>
    </x:row>
    <x:row r="5" ht="42" customHeight="1">
      <x:c r="A5" s="32" t="str">
        <x:v>OpenAI business pricing</x:v>
      </x:c>
      <x:c r="B5" s="32" t="str">
        <x:v>https://openai.com/business/pricing/?LanguageId=1</x:v>
      </x:c>
      <x:c r="C5" s="32" t="str">
        <x:v>2026-08-25</x:v>
      </x:c>
      <x:c r="D5" s="32" t="str">
        <x:v>Business plan price, size, billing choices</x:v>
      </x:c>
      <x:c r="E5" s="32" t="str">
        <x:v>Plan, minimum, commitment, tax, availability</x:v>
      </x:c>
      <x:c r="F5" s="32" t="str">
        <x:v>Public source</x:v>
      </x:c>
    </x:row>
    <x:row r="6" ht="42" customHeight="1">
      <x:c r="A6" s="32" t="str">
        <x:v>OpenAI partner network</x:v>
      </x:c>
      <x:c r="B6" s="32" t="str">
        <x:v>https://openai.com/business/partners/</x:v>
      </x:c>
      <x:c r="C6" s="32" t="str">
        <x:v>2026-08-25</x:v>
      </x:c>
      <x:c r="D6" s="32" t="str">
        <x:v>Partner programme availability</x:v>
      </x:c>
      <x:c r="E6" s="32" t="str">
        <x:v>Actual membership, SKU/geography resale rights</x:v>
      </x:c>
      <x:c r="F6" s="32" t="str">
        <x:v>Programme only</x:v>
      </x:c>
    </x:row>
    <x:row r="7" ht="42" customHeight="1">
      <x:c r="A7" s="32" t="str">
        <x:v>Anthropic pricing</x:v>
      </x:c>
      <x:c r="B7" s="32" t="str">
        <x:v>https://www.anthropic.com/pricing</x:v>
      </x:c>
      <x:c r="C7" s="32" t="str">
        <x:v>2026-08-25</x:v>
      </x:c>
      <x:c r="D7" s="32" t="str">
        <x:v>Team price and enterprise path</x:v>
      </x:c>
      <x:c r="E7" s="32" t="str">
        <x:v>Minimum, plan, admin/SSO, commitment</x:v>
      </x:c>
      <x:c r="F7" s="32" t="str">
        <x:v>Public source</x:v>
      </x:c>
    </x:row>
    <x:row r="8" ht="42" customHeight="1">
      <x:c r="A8" s="32" t="str">
        <x:v>Anthropic Team minimum</x:v>
      </x:c>
      <x:c r="B8" s="32" t="str">
        <x:v>https://support.anthropic.com/en/articles/9267247-how-do-i-get-started-with-the-team-plan</x:v>
      </x:c>
      <x:c r="C8" s="32" t="str">
        <x:v>2026-08-25</x:v>
      </x:c>
      <x:c r="D8" s="32" t="str">
        <x:v>Five-member minimum</x:v>
      </x:c>
      <x:c r="E8" s="32" t="str">
        <x:v>Current minimum and eligibility</x:v>
      </x:c>
      <x:c r="F8" s="32" t="str">
        <x:v>Public source</x:v>
      </x:c>
    </x:row>
    <x:row r="9" ht="42" customHeight="1">
      <x:c r="A9" s="32" t="str">
        <x:v>Anthropic partner track</x:v>
      </x:c>
      <x:c r="B9" s="32" t="str">
        <x:v>https://www.anthropic.com/news/services-track-partner-hub</x:v>
      </x:c>
      <x:c r="C9" s="32" t="str">
        <x:v>2026-08-25</x:v>
      </x:c>
      <x:c r="D9" s="32" t="str">
        <x:v>Services partner track</x:v>
      </x:c>
      <x:c r="E9" s="32" t="str">
        <x:v>Actual membership and commercial rights</x:v>
      </x:c>
      <x:c r="F9" s="32" t="str">
        <x:v>Programme only</x:v>
      </x:c>
    </x:row>
    <x:row r="10" ht="42" customHeight="1">
      <x:c r="A10" s="32" t="str">
        <x:v>OpenRouter pricing</x:v>
      </x:c>
      <x:c r="B10" s="32" t="str">
        <x:v>https://openrouter.ai/pricing</x:v>
      </x:c>
      <x:c r="C10" s="32" t="str">
        <x:v>2026-08-25</x:v>
      </x:c>
      <x:c r="D10" s="32" t="str">
        <x:v>PAYG and platform fee</x:v>
      </x:c>
      <x:c r="E10" s="32" t="str">
        <x:v>Credit fee, BYOK, model price, enterprise terms</x:v>
      </x:c>
      <x:c r="F10" s="32" t="str">
        <x:v>Public source</x:v>
      </x:c>
    </x:row>
    <x:row r="11" ht="42" customHeight="1">
      <x:c r="A11" s="32" t="str">
        <x:v>Microsoft 365 Copilot Canada</x:v>
      </x:c>
      <x:c r="B11" s="32" t="str">
        <x:v>https://www.microsoft.com/en-ca/microsoft-365-copilot/pricing</x:v>
      </x:c>
      <x:c r="C11" s="32" t="str">
        <x:v>2026-08-25</x:v>
      </x:c>
      <x:c r="D11" s="32" t="str">
        <x:v>Canadian public price and prerequisites</x:v>
      </x:c>
      <x:c r="E11" s="32" t="str">
        <x:v>Promotion, base licence, term, seat cap</x:v>
      </x:c>
      <x:c r="F11" s="32" t="str">
        <x:v>Public source / promotion</x:v>
      </x:c>
    </x:row>
    <x:row r="12" ht="42" customHeight="1">
      <x:c r="A12" s="32" t="str">
        <x:v>Microsoft CSP</x:v>
      </x:c>
      <x:c r="B12" s="32" t="str">
        <x:v>https://partner.microsoft.com/en-us/partnership/cloud-solution-provider</x:v>
      </x:c>
      <x:c r="C12" s="32" t="str">
        <x:v>2026-08-25</x:v>
      </x:c>
      <x:c r="D12" s="32" t="str">
        <x:v>CSP pathway</x:v>
      </x:c>
      <x:c r="E12" s="32" t="str">
        <x:v>Distributor, authorization, geography, SKU, support</x:v>
      </x:c>
      <x:c r="F12" s="32" t="str">
        <x:v>Programme only</x:v>
      </x:c>
    </x:row>
    <x:row r="13" ht="42" customHeight="1">
      <x:c r="A13" s="32" t="str">
        <x:v>Google Workspace Canada</x:v>
      </x:c>
      <x:c r="B13" s="32" t="str">
        <x:v>https://workspace.google.com/intl/en_ca/business/</x:v>
      </x:c>
      <x:c r="C13" s="32" t="str">
        <x:v>2026-08-25</x:v>
      </x:c>
      <x:c r="D13" s="32" t="str">
        <x:v>Workspace price and Gemini inclusion</x:v>
      </x:c>
      <x:c r="E13" s="32" t="str">
        <x:v>Term, promotion, feature/seat limits</x:v>
      </x:c>
      <x:c r="F13" s="32" t="str">
        <x:v>Public source</x:v>
      </x:c>
    </x:row>
    <x:row r="14" ht="42" customHeight="1">
      <x:c r="A14" s="32" t="str">
        <x:v>Google Workspace reseller</x:v>
      </x:c>
      <x:c r="B14" s="32" t="str">
        <x:v>https://support.google.com/channelservices/answer/9400042?hl=en</x:v>
      </x:c>
      <x:c r="C14" s="32" t="str">
        <x:v>2026-08-25</x:v>
      </x:c>
      <x:c r="D14" s="32" t="str">
        <x:v>Reseller pathway</x:v>
      </x:c>
      <x:c r="E14" s="32" t="str">
        <x:v>Authorization and Partner Sales Console status</x:v>
      </x:c>
      <x:c r="F14" s="32" t="str">
        <x:v>Programme only</x:v>
      </x:c>
    </x:row>
    <x:row r="15" ht="42" customHeight="1">
      <x:c r="A15" s="32" t="str">
        <x:v>GitHub Copilot plans</x:v>
      </x:c>
      <x:c r="B15" s="32" t="str">
        <x:v>https://docs.github.com/en/copilot/get-started/plans</x:v>
      </x:c>
      <x:c r="C15" s="32" t="str">
        <x:v>2026-08-25</x:v>
      </x:c>
      <x:c r="D15" s="32" t="str">
        <x:v>Seat price and signup note</x:v>
      </x:c>
      <x:c r="E15" s="32" t="str">
        <x:v>Availability, granted-seat billing, term</x:v>
      </x:c>
      <x:c r="F15" s="32" t="str">
        <x:v>Public source</x:v>
      </x:c>
    </x:row>
    <x:row r="16" ht="42" customHeight="1">
      <x:c r="A16" s="32" t="str">
        <x:v>Perplexity enterprise onboarding</x:v>
      </x:c>
      <x:c r="B16" s="32" t="str">
        <x:v>https://www.perplexity.ai/help-center/en/articles/12742827-perplexity-enterprise-onboarding-guide</x:v>
      </x:c>
      <x:c r="C16" s="32" t="str">
        <x:v>2026-08-25</x:v>
      </x:c>
      <x:c r="D16" s="32" t="str">
        <x:v>Enterprise seat prices and mixing</x:v>
      </x:c>
      <x:c r="E16" s="32" t="str">
        <x:v>Term, accepted-user billing, admin controls</x:v>
      </x:c>
      <x:c r="F16" s="32" t="str">
        <x:v>Public source</x:v>
      </x:c>
    </x:row>
    <x:row r="17" ht="42" customHeight="1">
      <x:c r="A17" s="32" t="str">
        <x:v>Midjourney plans</x:v>
      </x:c>
      <x:c r="B17" s="32" t="str">
        <x:v>https://docs.midjourney.com/hc/en-us/articles/27870484040333-Comparing-Midjourney-Plans</x:v>
      </x:c>
      <x:c r="C17" s="32" t="str">
        <x:v>2026-08-25</x:v>
      </x:c>
      <x:c r="D17" s="32" t="str">
        <x:v>Plan price, annual discount, revenue rule</x:v>
      </x:c>
      <x:c r="E17" s="32" t="str">
        <x:v>Account admin, legal use, plan and term</x:v>
      </x:c>
      <x:c r="F17" s="32" t="str">
        <x:v>Public source</x:v>
      </x:c>
    </x:row>
    <x:row r="18" ht="42" customHeight="1">
      <x:c r="A18" s="32" t="str">
        <x:v>Notion pricing</x:v>
      </x:c>
      <x:c r="B18" s="32" t="str">
        <x:v>https://www.notion.com/pricing</x:v>
      </x:c>
      <x:c r="C18" s="32" t="str">
        <x:v>2026-08-25</x:v>
      </x:c>
      <x:c r="D18" s="32" t="str">
        <x:v>Business public price and AI inclusion</x:v>
      </x:c>
      <x:c r="E18" s="32" t="str">
        <x:v>Billing basis, AI/agent usage, guests</x:v>
      </x:c>
      <x:c r="F18" s="32" t="str">
        <x:v>Public source</x:v>
      </x:c>
    </x:row>
    <x:row r="19" ht="42" customHeight="1">
      <x:c r="A19" s="32" t="str">
        <x:v>Canva pricing</x:v>
      </x:c>
      <x:c r="B19" s="32" t="str">
        <x:v>https://www.canva.com/pricing/</x:v>
      </x:c>
      <x:c r="C19" s="32" t="str">
        <x:v>2026-08-25</x:v>
      </x:c>
      <x:c r="D19" s="32" t="str">
        <x:v>Business annual price</x:v>
      </x:c>
      <x:c r="E19" s="32" t="str">
        <x:v>Tax, member billing, AI allowance</x:v>
      </x:c>
      <x:c r="F19" s="32" t="str">
        <x:v>Public source</x:v>
      </x:c>
    </x:row>
    <x:row r="20" ht="42" customHeight="1">
      <x:c r="A20" s="32" t="str">
        <x:v>Fathom pricing</x:v>
      </x:c>
      <x:c r="B20" s="32" t="str">
        <x:v>https://fathom.video/pricing</x:v>
      </x:c>
      <x:c r="C20" s="32" t="str">
        <x:v>2026-08-25</x:v>
      </x:c>
      <x:c r="D20" s="32" t="str">
        <x:v>Vendor price page</x:v>
      </x:c>
      <x:c r="E20" s="32" t="str">
        <x:v>Current plan and price; enter override</x:v>
      </x:c>
      <x:c r="F20" s="32" t="str">
        <x:v>Verify</x:v>
      </x:c>
    </x:row>
    <x:row r="21" ht="42" customHeight="1">
      <x:c r="A21" s="32" t="str">
        <x:v>Zapier pricing</x:v>
      </x:c>
      <x:c r="B21" s="32" t="str">
        <x:v>https://zapier.com/pricing</x:v>
      </x:c>
      <x:c r="C21" s="32" t="str">
        <x:v>2026-08-25</x:v>
      </x:c>
      <x:c r="D21" s="32" t="str">
        <x:v>Team starting price</x:v>
      </x:c>
      <x:c r="E21" s="32" t="str">
        <x:v>Tasks, users, feature, commitment</x:v>
      </x:c>
      <x:c r="F21" s="32" t="str">
        <x:v>Public source</x:v>
      </x:c>
    </x:row>
    <x:row r="22" ht="42" customHeight="1">
      <x:c r="A22" s="32" t="str">
        <x:v>Make pricing</x:v>
      </x:c>
      <x:c r="B22" s="32" t="str">
        <x:v>https://www.make.com/en/pricing</x:v>
      </x:c>
      <x:c r="C22" s="32" t="str">
        <x:v>2026-08-25</x:v>
      </x:c>
      <x:c r="D22" s="32" t="str">
        <x:v>Teams starting price</x:v>
      </x:c>
      <x:c r="E22" s="32" t="str">
        <x:v>Credits, operations, feature, commitment</x:v>
      </x:c>
      <x:c r="F22" s="32" t="str">
        <x:v>Public source</x:v>
      </x:c>
    </x:row>
    <x:row r="23" ht="42" customHeight="1">
      <x:c r="A23" s="32" t="str">
        <x:v>n8n pricing</x:v>
      </x:c>
      <x:c r="B23" s="32" t="str">
        <x:v>https://n8n.io/pricing/</x:v>
      </x:c>
      <x:c r="C23" s="32" t="str">
        <x:v>2026-08-25</x:v>
      </x:c>
      <x:c r="D23" s="32" t="str">
        <x:v>Hosted/self-hosted paths</x:v>
      </x:c>
      <x:c r="E23" s="32" t="str">
        <x:v>Price, licence, managed-service rights</x:v>
      </x:c>
      <x:c r="F23" s="32" t="str">
        <x:v>Verify</x:v>
      </x:c>
    </x:row>
    <x:row r="24" ht="42" customHeight="1">
      <x:c r="A24" s="32" t="str">
        <x:v>Supabase pricing</x:v>
      </x:c>
      <x:c r="B24" s="32" t="str">
        <x:v>https://supabase.com/pricing</x:v>
      </x:c>
      <x:c r="C24" s="32" t="str">
        <x:v>2026-08-25</x:v>
      </x:c>
      <x:c r="D24" s="32" t="str">
        <x:v>Pro starting price</x:v>
      </x:c>
      <x:c r="E24" s="32" t="str">
        <x:v>Usage, projects, backup, support</x:v>
      </x:c>
      <x:c r="F24" s="32" t="str">
        <x:v>Public source</x:v>
      </x:c>
    </x:row>
    <x:row r="25" ht="42" customHeight="1">
      <x:c r="A25" s="32" t="str">
        <x:v>Pinecone pricing</x:v>
      </x:c>
      <x:c r="B25" s="32" t="str">
        <x:v>https://www.pinecone.io/pricing/</x:v>
      </x:c>
      <x:c r="C25" s="32" t="str">
        <x:v>2026-08-25</x:v>
      </x:c>
      <x:c r="D25" s="32" t="str">
        <x:v>Standard minimum</x:v>
      </x:c>
      <x:c r="E25" s="32" t="str">
        <x:v>Usage, region, support, feature</x:v>
      </x:c>
      <x:c r="F25" s="32" t="str">
        <x:v>Public source</x:v>
      </x:c>
    </x:row>
    <x:row r="26" ht="42" customHeight="1">
      <x:c r="A26" s="32" t="str">
        <x:v>Langfuse pricing</x:v>
      </x:c>
      <x:c r="B26" s="32" t="str">
        <x:v>https://langfuse.com/pricing</x:v>
      </x:c>
      <x:c r="C26" s="32" t="str">
        <x:v>2026-08-25</x:v>
      </x:c>
      <x:c r="D26" s="32" t="str">
        <x:v>Core price and self-hosting</x:v>
      </x:c>
      <x:c r="E26" s="32" t="str">
        <x:v>Usage, licence, support, infrastructure</x:v>
      </x:c>
      <x:c r="F26" s="32" t="str">
        <x:v>Public source</x:v>
      </x:c>
    </x:row>
    <x:row r="27" ht="42" customHeight="1">
      <x:c r="A27" s="32" t="str">
        <x:v>LangSmith pricing</x:v>
      </x:c>
      <x:c r="B27" s="32" t="str">
        <x:v>https://www.langchain.com/pricing</x:v>
      </x:c>
      <x:c r="C27" s="32" t="str">
        <x:v>2026-08-25</x:v>
      </x:c>
      <x:c r="D27" s="32" t="str">
        <x:v>Plus seat price</x:v>
      </x:c>
      <x:c r="E27" s="32" t="str">
        <x:v>Usage, data, term, plan</x:v>
      </x:c>
      <x:c r="F27" s="32" t="str">
        <x:v>Public source</x:v>
      </x:c>
    </x:row>
    <x:row r="28" ht="42" customHeight="1">
      <x:c r="A28" s="32" t="str">
        <x:v>Azure OpenAI pricing</x:v>
      </x:c>
      <x:c r="B28" s="32" t="str">
        <x:v>https://azure.microsoft.com/en-ca/pricing/details/cognitive-services/openai-service/</x:v>
      </x:c>
      <x:c r="C28" s="32" t="str">
        <x:v>2026-08-25</x:v>
      </x:c>
      <x:c r="D28" s="32" t="str">
        <x:v>Consumption price location</x:v>
      </x:c>
      <x:c r="E28" s="32" t="str">
        <x:v>Region, model, deployment, currency</x:v>
      </x:c>
      <x:c r="F28" s="32" t="str">
        <x:v>Model-specific</x:v>
      </x:c>
    </x:row>
    <x:row r="29" ht="42" customHeight="1">
      <x:c r="A29" s="32" t="str">
        <x:v>AWS Bedrock pricing</x:v>
      </x:c>
      <x:c r="B29" s="32" t="str">
        <x:v>https://aws.amazon.com/bedrock/pricing/</x:v>
      </x:c>
      <x:c r="C29" s="32" t="str">
        <x:v>2026-08-25</x:v>
      </x:c>
      <x:c r="D29" s="32" t="str">
        <x:v>Consumption price location</x:v>
      </x:c>
      <x:c r="E29" s="32" t="str">
        <x:v>Region, model, throughput mode</x:v>
      </x:c>
      <x:c r="F29" s="32" t="str">
        <x:v>Model-specific</x:v>
      </x:c>
    </x:row>
    <x:row r="30" ht="42" customHeight="1">
      <x:c r="A30" s="32" t="str">
        <x:v>Vertex AI pricing</x:v>
      </x:c>
      <x:c r="B30" s="32" t="str">
        <x:v>https://cloud.google.com/vertex-ai/generative-ai/pricing</x:v>
      </x:c>
      <x:c r="C30" s="32" t="str">
        <x:v>2026-08-25</x:v>
      </x:c>
      <x:c r="D30" s="32" t="str">
        <x:v>Consumption price location</x:v>
      </x:c>
      <x:c r="E30" s="32" t="str">
        <x:v>Region, model, feature, discount</x:v>
      </x:c>
      <x:c r="F30" s="32" t="str">
        <x:v>Model-specific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27e758db3d34d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22" hidden="0" customWidth="1"/>
    <x:col min="4" max="4" width="44" hidden="0" customWidth="1"/>
    <x:col min="5" max="5" width="44" hidden="0" customWidth="1"/>
  </x:cols>
  <x:sheetData>
    <x:row r="1" ht="40" customHeight="1">
      <x:c r="A1" s="3" t="str">
        <x:v>WORKBOOK CHECKS</x:v>
      </x:c>
      <x:c r="B1" s="3" t="str">
        <x:v>WORKBOOK CHECKS</x:v>
      </x:c>
      <x:c r="C1" s="3" t="str">
        <x:v>WORKBOOK CHECKS</x:v>
      </x:c>
      <x:c r="D1" s="3" t="str">
        <x:v>WORKBOOK CHECKS</x:v>
      </x:c>
      <x:c r="E1" s="3" t="str">
        <x:v>WORKBOOK CHECKS</x:v>
      </x:c>
    </x:row>
    <x:row r="2" ht="34" customHeight="1">
      <x:c r="A2" s="7" t="str">
        <x:v>PASS confirms basic arithmetic and input integrity. It does not establish reseller authorization, technical approval, or current vendor pricing.</x:v>
      </x:c>
      <x:c r="B2" s="7" t="str">
        <x:v>PASS confirms basic arithmetic and input integrity. It does not establish reseller authorization, technical approval, or current vendor pricing.</x:v>
      </x:c>
      <x:c r="C2" s="7" t="str">
        <x:v>PASS confirms basic arithmetic and input integrity. It does not establish reseller authorization, technical approval, or current vendor pricing.</x:v>
      </x:c>
      <x:c r="D2" s="7" t="str">
        <x:v>PASS confirms basic arithmetic and input integrity. It does not establish reseller authorization, technical approval, or current vendor pricing.</x:v>
      </x:c>
      <x:c r="E2" s="7" t="str">
        <x:v>PASS confirms basic arithmetic and input integrity. It does not establish reseller authorization, technical approval, or current vendor pricing.</x:v>
      </x:c>
    </x:row>
    <x:row r="4" ht="34" customHeight="1">
      <x:c r="A4" s="26" t="str">
        <x:v>Check</x:v>
      </x:c>
      <x:c r="B4" s="26" t="str">
        <x:v>Result</x:v>
      </x:c>
      <x:c r="C4" s="26" t="str">
        <x:v>Expected</x:v>
      </x:c>
      <x:c r="D4" s="26" t="str">
        <x:v>Mechanism</x:v>
      </x:c>
      <x:c r="E4" s="26" t="str">
        <x:v>Action if not PASS</x:v>
      </x:c>
    </x:row>
    <x:row r="5" ht="34" customHeight="1">
      <x:c r="A5" s="19" t="str">
        <x:v>FX rate positive</x:v>
      </x:c>
      <x:c r="B5" s="80" t="str">
        <x:f>IF('Client Quote'!$B$11&gt;0,"PASS","FAIL")</x:f>
        <x:v>PASS</x:v>
      </x:c>
      <x:c r="C5" s="19" t="str">
        <x:v>PASS</x:v>
      </x:c>
      <x:c r="D5" s="19" t="str">
        <x:v>Client Quote USD/CAD &gt; 0</x:v>
      </x:c>
      <x:c r="E5" s="19" t="str">
        <x:v>Enter quote-time rate</x:v>
      </x:c>
    </x:row>
    <x:row r="6" ht="34" customHeight="1">
      <x:c r="A6" s="19" t="str">
        <x:v>No invalid product IDs</x:v>
      </x:c>
      <x:c r="B6" s="80" t="str">
        <x:f>IF(COUNTIF(Configuration!$T$5:$T$30,"INVALID PRODUCT")=0,"PASS","FAIL")</x:f>
        <x:v>PASS</x:v>
      </x:c>
      <x:c r="C6" s="19" t="str">
        <x:v>PASS</x:v>
      </x:c>
      <x:c r="D6" s="19" t="str">
        <x:v>Configuration status count</x:v>
      </x:c>
      <x:c r="E6" s="19" t="str">
        <x:v>Choose a valid catalogue ID</x:v>
      </x:c>
    </x:row>
    <x:row r="7" ht="34" customHeight="1">
      <x:c r="A7" s="19" t="str">
        <x:v>No quantities below minimum</x:v>
      </x:c>
      <x:c r="B7" s="80" t="str">
        <x:f>IF(COUNTIF(Configuration!$T$5:$T$30,"BELOW MINIMUM")=0,"PASS","FAIL")</x:f>
        <x:v>PASS</x:v>
      </x:c>
      <x:c r="C7" s="19" t="str">
        <x:v>PASS</x:v>
      </x:c>
      <x:c r="D7" s="19" t="str">
        <x:v>Configuration status count</x:v>
      </x:c>
      <x:c r="E7" s="19" t="str">
        <x:v>Increase quantity or select another plan</x:v>
      </x:c>
    </x:row>
    <x:row r="8" ht="34" customHeight="1">
      <x:c r="A8" s="19" t="str">
        <x:v>No negative quantities/users/overrides</x:v>
      </x:c>
      <x:c r="B8" s="80" t="str">
        <x:f>IF(COUNTIF(Configuration!$E$5:$G$30,"&lt;0")+COUNTIF(Configuration!$O$5:$O$30,"&lt;0")=0,"PASS","FAIL")</x:f>
        <x:v>PASS</x:v>
      </x:c>
      <x:c r="C8" s="19" t="str">
        <x:v>PASS</x:v>
      </x:c>
      <x:c r="D8" s="19" t="str">
        <x:v>Configuration input scan</x:v>
      </x:c>
      <x:c r="E8" s="19" t="str">
        <x:v>Correct negative input</x:v>
      </x:c>
    </x:row>
    <x:row r="9" ht="34" customHeight="1">
      <x:c r="A9" s="19" t="str">
        <x:v>Client vendor total reconciles</x:v>
      </x:c>
      <x:c r="B9" s="80" t="str">
        <x:f>IF(ABS('Client Quote'!$E$7-SUM(Configuration!$K$5:$K$30))&lt;0.01,"PASS","FAIL")</x:f>
        <x:v>PASS</x:v>
      </x:c>
      <x:c r="C9" s="19" t="str">
        <x:v>PASS</x:v>
      </x:c>
      <x:c r="D9" s="19" t="str">
        <x:v>Client Quote vs Configuration</x:v>
      </x:c>
      <x:c r="E9" s="19" t="str">
        <x:v>Inspect formula/reference</x:v>
      </x:c>
    </x:row>
    <x:row r="10" ht="34" customHeight="1">
      <x:c r="A10" s="19" t="str">
        <x:v>Client one-time total reconciles</x:v>
      </x:c>
      <x:c r="B10" s="80" t="str">
        <x:f>IF(ABS('Client Quote'!$E$8-SUM(Configuration!$P$5:$P$30))&lt;0.01,"PASS","FAIL")</x:f>
        <x:v>PASS</x:v>
      </x:c>
      <x:c r="C10" s="19" t="str">
        <x:v>PASS</x:v>
      </x:c>
      <x:c r="D10" s="19" t="str">
        <x:v>Client Quote vs Configuration</x:v>
      </x:c>
      <x:c r="E10" s="19" t="str">
        <x:v>Inspect formula/reference</x:v>
      </x:c>
    </x:row>
    <x:row r="11" ht="34" customHeight="1">
      <x:c r="A11" s="19" t="str">
        <x:v>Client monthly total reconciles</x:v>
      </x:c>
      <x:c r="B11" s="80" t="str">
        <x:f>IF(ABS('Client Quote'!$E$9-SUM(Configuration!$Q$5:$Q$30))&lt;0.01,"PASS","FAIL")</x:f>
        <x:v>PASS</x:v>
      </x:c>
      <x:c r="C11" s="19" t="str">
        <x:v>PASS</x:v>
      </x:c>
      <x:c r="D11" s="19" t="str">
        <x:v>Client Quote vs Configuration</x:v>
      </x:c>
      <x:c r="E11" s="19" t="str">
        <x:v>Inspect formula/reference</x:v>
      </x:c>
    </x:row>
    <x:row r="12" ht="34" customHeight="1">
      <x:c r="A12" s="19" t="str">
        <x:v>Overall arithmetic readiness</x:v>
      </x:c>
      <x:c r="B12" s="80" t="str">
        <x:f>IF(COUNTIF($B$5:$B$11,"FAIL")=0,"PASS","REVIEW")</x:f>
        <x:v>PASS</x:v>
      </x:c>
      <x:c r="C12" s="19" t="str">
        <x:v>PASS</x:v>
      </x:c>
      <x:c r="D12" s="19" t="str">
        <x:v>All checks above</x:v>
      </x:c>
      <x:c r="E12" s="19" t="str">
        <x:v>Do not issue until resolved</x:v>
      </x:c>
    </x:row>
    <x:row r="15" ht="24" customHeight="1">
      <x:c r="A15" s="10" t="str">
        <x:v>COMMERCIAL READINESS (MANUAL)</x:v>
      </x:c>
      <x:c r="B15" s="10" t="str">
        <x:v>COMMERCIAL READINESS (MANUAL)</x:v>
      </x:c>
      <x:c r="C15" s="10" t="str">
        <x:v>COMMERCIAL READINESS (MANUAL)</x:v>
      </x:c>
      <x:c r="D15" s="10" t="str">
        <x:v>COMMERCIAL READINESS (MANUAL)</x:v>
      </x:c>
      <x:c r="E15" s="10" t="str">
        <x:v>COMMERCIAL READINESS (MANUAL)</x:v>
      </x:c>
    </x:row>
    <x:row r="16" ht="34" customHeight="1">
      <x:c r="A16" s="26" t="str">
        <x:v>Manual gate</x:v>
      </x:c>
      <x:c r="B16" s="26" t="str">
        <x:v>State</x:v>
      </x:c>
      <x:c r="C16" s="26" t="str">
        <x:v>Owner</x:v>
      </x:c>
      <x:c r="D16" s="26" t="str">
        <x:v>Evidence</x:v>
      </x:c>
      <x:c r="E16" s="26" t="str">
        <x:v>Rule</x:v>
      </x:c>
    </x:row>
    <x:row r="17" ht="42" customHeight="1">
      <x:c r="A17" s="19" t="str">
        <x:v>Vendor price and terms re-opened</x:v>
      </x:c>
      <x:c r="B17" s="83" t="str">
        <x:v>NOT REVIEWED</x:v>
      </x:c>
      <x:c r="C17" s="19" t="str">
        <x:v>Seller</x:v>
      </x:c>
      <x:c r="D17" s="19" t="str">
        <x:v>Dated source / vendor quote</x:v>
      </x:c>
      <x:c r="E17" s="19" t="str">
        <x:v>Required for every binding quote</x:v>
      </x:c>
    </x:row>
    <x:row r="18" ht="42" customHeight="1">
      <x:c r="A18" s="19" t="str">
        <x:v>Commercial pathway and seller of record confirmed</x:v>
      </x:c>
      <x:c r="B18" s="83" t="str">
        <x:v>NOT REVIEWED</x:v>
      </x:c>
      <x:c r="C18" s="19" t="str">
        <x:v>Seller / finance</x:v>
      </x:c>
      <x:c r="D18" s="19" t="str">
        <x:v>Authorization / customer-direct acknowledgement</x:v>
      </x:c>
      <x:c r="E18" s="19" t="str">
        <x:v>Resale cannot be inferred</x:v>
      </x:c>
    </x:row>
    <x:row r="19" ht="42" customHeight="1">
      <x:c r="A19" s="19" t="str">
        <x:v>Prerequisites and overlap reviewed</x:v>
      </x:c>
      <x:c r="B19" s="83" t="str">
        <x:v>NOT REVIEWED</x:v>
      </x:c>
      <x:c r="C19" s="19" t="str">
        <x:v>Solutions lead</x:v>
      </x:c>
      <x:c r="D19" s="19" t="str">
        <x:v>Client environment note</x:v>
      </x:c>
      <x:c r="E19" s="19" t="str">
        <x:v>Avoid duplicate or incompatible products</x:v>
      </x:c>
    </x:row>
    <x:row r="20" ht="42" customHeight="1">
      <x:c r="A20" s="19" t="str">
        <x:v>Data, security, privacy, and use-case review</x:v>
      </x:c>
      <x:c r="B20" s="83" t="str">
        <x:v>NOT REVIEWED</x:v>
      </x:c>
      <x:c r="C20" s="19" t="str">
        <x:v>Solutions lead / client</x:v>
      </x:c>
      <x:c r="D20" s="19" t="str">
        <x:v>Approval record</x:v>
      </x:c>
      <x:c r="E20" s="19" t="str">
        <x:v>Catalogue inclusion is not use-case approval</x:v>
      </x:c>
    </x:row>
    <x:row r="21" ht="42" customHeight="1">
      <x:c r="A21" s="19" t="str">
        <x:v>Client ownership and admin recovery recorded</x:v>
      </x:c>
      <x:c r="B21" s="83" t="str">
        <x:v>NOT REVIEWED</x:v>
      </x:c>
      <x:c r="C21" s="19" t="str">
        <x:v>Delivery lead</x:v>
      </x:c>
      <x:c r="D21" s="19" t="str">
        <x:v>Responsibility schedule</x:v>
      </x:c>
      <x:c r="E21" s="19" t="str">
        <x:v>Required before deployment complete</x:v>
      </x:c>
    </x:row>
  </x:sheetData>
  <x:mergeCells>
    <x:mergeCell ref="A1:E1"/>
    <x:mergeCell ref="A2:E2"/>
    <x:mergeCell ref="A15:E15"/>
  </x:mergeCells>
  <x:conditionalFormatting sqref="B5:B12">
    <x:cfRule type="containsText" dxfId="6" priority="1" operator="containsText" text="FAIL"/>
    <x:cfRule type="containsText" dxfId="7" priority="2" operator="containsText" text="REVIEW"/>
  </x:conditionalFormatting>
  <x:pageMargins left="0.7" right="0.7" top="0.75" bottom="0.75" header="0.3" footer="0.3"/>
</x:worksheet>
</file>