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755e97bd1649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2ce1f9fe68d746c5"/>
    <x:sheet xmlns:r="http://schemas.openxmlformats.org/officeDocument/2006/relationships" name="Assumptions" sheetId="2" r:id="Rc0a1b41b173e4185"/>
    <x:sheet xmlns:r="http://schemas.openxmlformats.org/officeDocument/2006/relationships" name="Platform Catalog" sheetId="3" r:id="R0fc63f0045d34ebf"/>
    <x:sheet xmlns:r="http://schemas.openxmlformats.org/officeDocument/2006/relationships" name="Scenario Model" sheetId="4" r:id="R9e3f531c915847de"/>
    <x:sheet xmlns:r="http://schemas.openxmlformats.org/officeDocument/2006/relationships" name="Build Cost" sheetId="5" r:id="Rcd957877f10548aa"/>
    <x:sheet xmlns:r="http://schemas.openxmlformats.org/officeDocument/2006/relationships" name="Sources" sheetId="6" r:id="R93989901015f439d"/>
    <x:sheet xmlns:r="http://schemas.openxmlformats.org/officeDocument/2006/relationships" name="Checks" sheetId="7" r:id="Rb228b8275f0a40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00"/>
    <x:numFmt numFmtId="201" formatCode="$#,##0"/>
    <x:numFmt numFmtId="202" formatCode="#,##0"/>
    <x:numFmt numFmtId="203" formatCode="0.0"/>
    <x:numFmt numFmtId="204" formatCode="$#,##0.00"/>
    <x:numFmt numFmtId="205" formatCode="#,##0.0"/>
    <x:numFmt numFmtId="206" formatCode="0.0%"/>
  </x:numFmts>
  <x:fonts count="13">
    <x:font>
      <x:sz val="11"/>
      <x:name val="Carlito"/>
    </x:font>
    <x:font>
      <x:b/>
      <x:sz val="20"/>
      <x:color rgb="FFFFFFFF"/>
      <x:name val="Carlito"/>
    </x:font>
    <x:font>
      <x:i/>
      <x:sz val="10"/>
      <x:color rgb="FF475569"/>
      <x:name val="Carlito"/>
    </x:font>
    <x:font>
      <x:b/>
      <x:sz val="11"/>
      <x:color rgb="FFFFFFFF"/>
      <x:name val="Carlito"/>
    </x:font>
    <x:font>
      <x:sz val="11"/>
      <x:color rgb="FF1D4ED8"/>
      <x:name val="Carlito"/>
    </x:font>
    <x:font>
      <x:i/>
      <x:sz val="11"/>
      <x:color rgb="FF475569"/>
      <x:name val="Carlito"/>
    </x:font>
    <x:font>
      <x:b/>
      <x:sz val="11"/>
      <x:color rgb="FF111827"/>
      <x:name val="Carlito"/>
    </x:font>
    <x:font>
      <x:b/>
      <x:sz val="10"/>
      <x:color rgb="FFFFFFFF"/>
      <x:name val="Aptos"/>
    </x:font>
    <x:font>
      <x:i/>
      <x:sz val="10"/>
      <x:color rgb="FF475569"/>
      <x:name val="Aptos"/>
    </x:font>
    <x:font>
      <x:sz val="10"/>
      <x:name val="Aptos"/>
    </x:font>
    <x:font>
      <x:sz val="10"/>
      <x:color rgb="FF1D4ED8"/>
      <x:name val="Aptos"/>
    </x:font>
    <x:font>
      <x:b/>
      <x:sz val="10"/>
      <x:color rgb="FF111827"/>
      <x:name val="Aptos"/>
    </x:font>
    <x:font>
      <x:b/>
      <x:sz val="20"/>
      <x:color rgb="FFFFFFFF"/>
      <x:name val="Aptos Display"/>
    </x:font>
  </x:fonts>
  <x:fills count="9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FFBF5"/>
      </x:patternFill>
    </x:fill>
    <x:fill>
      <x:patternFill patternType="solid">
        <x:fgColor rgb="FFF97316"/>
      </x:patternFill>
    </x:fill>
    <x:fill>
      <x:patternFill patternType="solid">
        <x:fgColor rgb="FFEFF6FF"/>
      </x:patternFill>
    </x:fill>
    <x:fill>
      <x:patternFill patternType="solid">
        <x:fgColor rgb="FFF8FAFC"/>
      </x:patternFill>
    </x:fill>
    <x:fill>
      <x:patternFill patternType="solid">
        <x:fgColor rgb="FFFFF7ED"/>
      </x:patternFill>
    </x:fill>
    <x:fill>
      <x:patternFill patternType="solid">
        <x:fgColor rgb="FFFFF1F2"/>
      </x:patternFill>
    </x:fill>
  </x:fills>
  <x:borders count="32">
    <x:border/>
    <x:border>
      <x:left style="thin">
        <x:color rgb="FF111827"/>
      </x:left>
      <x:top style="thin">
        <x:color rgb="FF111827"/>
      </x:top>
      <x:bottom style="thin">
        <x:color rgb="FF111827"/>
      </x:bottom>
    </x:border>
    <x:border>
      <x:right style="thin">
        <x:color rgb="FF111827"/>
      </x:right>
      <x:top style="thin">
        <x:color rgb="FF111827"/>
      </x:top>
      <x:bottom style="thin">
        <x:color rgb="FF111827"/>
      </x:bottom>
    </x:border>
    <x:border>
      <x:left style="thin">
        <x:color rgb="FFBFDBFE"/>
      </x:left>
      <x:right style="thin">
        <x:color rgb="FFBFDBFE"/>
      </x:right>
      <x:top style="thin">
        <x:color rgb="FFBFDBFE"/>
      </x:top>
    </x:border>
    <x:border>
      <x:left style="thin">
        <x:color rgb="FFBFDBFE"/>
      </x:left>
      <x:right style="thin">
        <x:color rgb="FFBFDBFE"/>
      </x:right>
    </x:border>
    <x:border>
      <x:left style="thin">
        <x:color rgb="FFBFDBFE"/>
      </x:left>
      <x:right style="thin">
        <x:color rgb="FFBFDBFE"/>
      </x:right>
      <x:bottom style="thin">
        <x:color rgb="FFBFDBFE"/>
      </x:bottom>
    </x:border>
    <x:border>
      <x:bottom style="thin">
        <x:color rgb="FFE5E7EB"/>
      </x:bottom>
    </x:border>
    <x:border>
      <x:left style="thin">
        <x:color rgb="FFBFDBFE"/>
      </x:left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left style="thin">
        <x:color rgb="FFBFDBFE"/>
      </x:left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BFDBFE"/>
      </x:left>
      <x:top style="thin">
        <x:color rgb="FFE5E7EB"/>
      </x:top>
    </x:border>
    <x:border>
      <x:top style="thin">
        <x:color rgb="FF111827"/>
      </x:top>
      <x:bottom style="thin">
        <x:color rgb="FF111827"/>
      </x:bottom>
    </x:border>
    <x:border>
      <x:left style="thin">
        <x:color rgb="FFBFDBFE"/>
      </x:left>
      <x:top style="thin">
        <x:color rgb="FFBFDBFE"/>
      </x:top>
      <x:bottom style="thin">
        <x:color rgb="FFBFDBFE"/>
      </x:bottom>
    </x:border>
    <x:border>
      <x:top style="thin">
        <x:color rgb="FFBFDBFE"/>
      </x:top>
      <x:bottom style="thin">
        <x:color rgb="FFBFDBFE"/>
      </x:bottom>
    </x:border>
    <x:border>
      <x:right style="thin">
        <x:color rgb="FFBFDBFE"/>
      </x:right>
      <x:top style="thin">
        <x:color rgb="FFBFDBFE"/>
      </x:top>
      <x:bottom style="thin">
        <x:color rgb="FFBFDBFE"/>
      </x:bottom>
    </x:border>
    <x:border>
      <x:left style="thin">
        <x:color rgb="FFBFDBFE"/>
      </x:left>
      <x:top style="thin">
        <x:color rgb="FFBFDBFE"/>
      </x:top>
    </x:border>
    <x:border>
      <x:top style="thin">
        <x:color rgb="FFBFDBFE"/>
      </x:top>
    </x:border>
    <x:border>
      <x:right style="thin">
        <x:color rgb="FFBFDBFE"/>
      </x:right>
      <x:top style="thin">
        <x:color rgb="FFBFDBFE"/>
      </x:top>
    </x:border>
    <x:border>
      <x:left style="thin">
        <x:color rgb="FFBFDBFE"/>
      </x:left>
    </x:border>
    <x:border>
      <x:right style="thin">
        <x:color rgb="FFBFDBFE"/>
      </x:right>
    </x:border>
    <x:border>
      <x:left style="thin">
        <x:color rgb="FFBFDBFE"/>
      </x:left>
      <x:bottom style="thin">
        <x:color rgb="FFBFDBFE"/>
      </x:bottom>
    </x:border>
    <x:border>
      <x:bottom style="thin">
        <x:color rgb="FFBFDBFE"/>
      </x:bottom>
    </x:border>
    <x:border>
      <x:right style="thin">
        <x:color rgb="FFBFDBFE"/>
      </x:right>
      <x:bottom style="thin">
        <x:color rgb="FFBFDBFE"/>
      </x:bottom>
    </x:border>
    <x:border>
      <x:left style="thin">
        <x:color rgb="FFF97316"/>
      </x:left>
      <x:top style="thin">
        <x:color rgb="FFF97316"/>
      </x:top>
      <x:bottom style="thin">
        <x:color rgb="FFE5E7EB"/>
      </x:bottom>
    </x:border>
    <x:border>
      <x:top style="thin">
        <x:color rgb="FFF97316"/>
      </x:top>
      <x:bottom style="thin">
        <x:color rgb="FFE5E7EB"/>
      </x:bottom>
    </x:border>
    <x:border>
      <x:right style="thin">
        <x:color rgb="FFF97316"/>
      </x:right>
      <x:top style="thin">
        <x:color rgb="FFF97316"/>
      </x:top>
      <x:bottom style="thin">
        <x:color rgb="FFE5E7EB"/>
      </x:bottom>
    </x:border>
    <x:border>
      <x:left style="thin">
        <x:color rgb="FFF97316"/>
      </x:left>
      <x:top style="thin">
        <x:color rgb="FFE5E7EB"/>
      </x:top>
      <x:bottom style="thin">
        <x:color rgb="FFE5E7EB"/>
      </x:bottom>
    </x:border>
    <x:border>
      <x:right style="thin">
        <x:color rgb="FFF97316"/>
      </x:right>
      <x:top style="thin">
        <x:color rgb="FFE5E7EB"/>
      </x:top>
      <x:bottom style="thin">
        <x:color rgb="FFE5E7EB"/>
      </x:bottom>
    </x:border>
    <x:border>
      <x:left style="thin">
        <x:color rgb="FFF97316"/>
      </x:left>
      <x:top style="thin">
        <x:color rgb="FFE5E7EB"/>
      </x:top>
      <x:bottom style="thin">
        <x:color rgb="FFF97316"/>
      </x:bottom>
    </x:border>
    <x:border>
      <x:top style="thin">
        <x:color rgb="FFE5E7EB"/>
      </x:top>
      <x:bottom style="thin">
        <x:color rgb="FFF97316"/>
      </x:bottom>
    </x:border>
    <x:border>
      <x:right style="thin">
        <x:color rgb="FFF97316"/>
      </x:right>
      <x:top style="thin">
        <x:color rgb="FFE5E7EB"/>
      </x:top>
      <x:bottom style="thin">
        <x:color rgb="FFF97316"/>
      </x:bottom>
    </x:border>
  </x:borders>
  <x:cellStyleXfs count="1">
    <x:xf numFmtId="0" fontId="0" fillId="0" borderId="0"/>
  </x:cellStyleXfs>
  <x:cellXfs count="2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200" fontId="4" fillId="5" borderId="3" xfId="0" applyNumberFormat="1" applyFont="1" applyFill="1" applyBorder="1"/>
    <x:xf numFmtId="200" fontId="4" fillId="5" borderId="4" xfId="0" applyNumberFormat="1" applyFont="1" applyFill="1" applyBorder="1"/>
    <x:xf numFmtId="201" fontId="4" fillId="5" borderId="4" xfId="0" applyNumberFormat="1" applyFont="1" applyFill="1" applyBorder="1"/>
    <x:xf numFmtId="201" fontId="4" fillId="5" borderId="5" xfId="0" applyNumberFormat="1" applyFont="1" applyFill="1" applyBorder="1"/>
    <x:xf numFmtId="0" fontId="0" fillId="0" borderId="6" xfId="0" applyNumberFormat="1" applyFont="1" applyFill="1" applyBorder="1"/>
    <x:xf numFmtId="200" fontId="4" fillId="5" borderId="7" xfId="0" applyNumberFormat="1" applyFont="1" applyFill="1" applyBorder="1"/>
    <x:xf numFmtId="0" fontId="0" fillId="0" borderId="8" xfId="0" applyNumberFormat="1" applyFont="1" applyFill="1" applyBorder="1"/>
    <x:xf numFmtId="200" fontId="4" fillId="5" borderId="9" xfId="0" applyNumberFormat="1" applyFont="1" applyFill="1" applyBorder="1"/>
    <x:xf numFmtId="201" fontId="4" fillId="5" borderId="9" xfId="0" applyNumberFormat="1" applyFont="1" applyFill="1" applyBorder="1"/>
    <x:xf numFmtId="0" fontId="0" fillId="0" borderId="10" xfId="0" applyNumberFormat="1" applyFont="1" applyFill="1" applyBorder="1"/>
    <x:xf numFmtId="201" fontId="4" fillId="5" borderId="11" xfId="0" applyNumberFormat="1" applyFont="1" applyFill="1" applyBorder="1"/>
    <x:xf numFmtId="0" fontId="0" fillId="0" borderId="6" xfId="0" applyNumberFormat="1" applyFont="1" applyFill="1" applyBorder="1" applyAlignment="1">
      <x:alignment vertical="center"/>
    </x:xf>
    <x:xf numFmtId="200" fontId="4" fillId="5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200" fontId="4" fillId="5" borderId="9" xfId="0" applyNumberFormat="1" applyFont="1" applyFill="1" applyBorder="1" applyAlignment="1">
      <x:alignment vertical="center"/>
    </x:xf>
    <x:xf numFmtId="201" fontId="4" fillId="5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201" fontId="4" fillId="5" borderId="11" xfId="0" applyNumberFormat="1" applyFont="1" applyFill="1" applyBorder="1" applyAlignment="1">
      <x:alignment vertical="center"/>
    </x:xf>
    <x:xf numFmtId="0" fontId="3" fillId="4" borderId="12" xfId="0" applyNumberFormat="1" applyFont="1" applyFill="1" applyBorder="1"/>
    <x:xf numFmtId="0" fontId="3" fillId="4" borderId="12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vertical="center" wrapText="1"/>
    </x:xf>
    <x:xf numFmtId="0" fontId="4" fillId="5" borderId="13" xfId="0" applyNumberFormat="1" applyFont="1" applyFill="1" applyBorder="1"/>
    <x:xf numFmtId="0" fontId="4" fillId="5" borderId="14" xfId="0" applyNumberFormat="1" applyFont="1" applyFill="1" applyBorder="1"/>
    <x:xf numFmtId="0" fontId="4" fillId="5" borderId="15" xfId="0" applyNumberFormat="1" applyFont="1" applyFill="1" applyBorder="1"/>
    <x:xf numFmtId="202" fontId="4" fillId="5" borderId="13" xfId="0" applyNumberFormat="1" applyFont="1" applyFill="1" applyBorder="1"/>
    <x:xf numFmtId="202" fontId="4" fillId="5" borderId="14" xfId="0" applyNumberFormat="1" applyFont="1" applyFill="1" applyBorder="1"/>
    <x:xf numFmtId="202" fontId="4" fillId="5" borderId="15" xfId="0" applyNumberFormat="1" applyFont="1" applyFill="1" applyBorder="1"/>
    <x:xf numFmtId="0" fontId="3" fillId="2" borderId="12" xfId="0" applyNumberFormat="1" applyFont="1" applyFill="1" applyBorder="1"/>
    <x:xf numFmtId="0" fontId="4" fillId="5" borderId="16" xfId="0" applyNumberFormat="1" applyFont="1" applyFill="1" applyBorder="1"/>
    <x:xf numFmtId="0" fontId="4" fillId="5" borderId="17" xfId="0" applyNumberFormat="1" applyFont="1" applyFill="1" applyBorder="1"/>
    <x:xf numFmtId="0" fontId="4" fillId="5" borderId="18" xfId="0" applyNumberFormat="1" applyFont="1" applyFill="1" applyBorder="1"/>
    <x:xf numFmtId="0" fontId="4" fillId="5" borderId="19" xfId="0" applyNumberFormat="1" applyFont="1" applyFill="1" applyBorder="1"/>
    <x:xf numFmtId="0" fontId="4" fillId="5" borderId="20" xfId="0" applyNumberFormat="1" applyFont="1" applyFill="1" applyBorder="1"/>
    <x:xf numFmtId="0" fontId="4" fillId="5" borderId="21" xfId="0" applyNumberFormat="1" applyFont="1" applyFill="1" applyBorder="1"/>
    <x:xf numFmtId="0" fontId="4" fillId="5" borderId="22" xfId="0" applyNumberFormat="1" applyFont="1" applyFill="1" applyBorder="1"/>
    <x:xf numFmtId="0" fontId="4" fillId="5" borderId="23" xfId="0" applyNumberFormat="1" applyFont="1" applyFill="1" applyBorder="1"/>
    <x:xf numFmtId="202" fontId="4" fillId="5" borderId="16" xfId="0" applyNumberFormat="1" applyFont="1" applyFill="1" applyBorder="1"/>
    <x:xf numFmtId="202" fontId="4" fillId="5" borderId="17" xfId="0" applyNumberFormat="1" applyFont="1" applyFill="1" applyBorder="1"/>
    <x:xf numFmtId="202" fontId="4" fillId="5" borderId="18" xfId="0" applyNumberFormat="1" applyFont="1" applyFill="1" applyBorder="1"/>
    <x:xf numFmtId="202" fontId="4" fillId="5" borderId="19" xfId="0" applyNumberFormat="1" applyFont="1" applyFill="1" applyBorder="1"/>
    <x:xf numFmtId="202" fontId="4" fillId="5" borderId="0" xfId="0" applyNumberFormat="1" applyFont="1" applyFill="1" applyBorder="1"/>
    <x:xf numFmtId="202" fontId="4" fillId="5" borderId="20" xfId="0" applyNumberFormat="1" applyFont="1" applyFill="1" applyBorder="1"/>
    <x:xf numFmtId="202" fontId="4" fillId="5" borderId="21" xfId="0" applyNumberFormat="1" applyFont="1" applyFill="1" applyBorder="1"/>
    <x:xf numFmtId="202" fontId="4" fillId="5" borderId="22" xfId="0" applyNumberFormat="1" applyFont="1" applyFill="1" applyBorder="1"/>
    <x:xf numFmtId="202" fontId="4" fillId="5" borderId="23" xfId="0" applyNumberFormat="1" applyFont="1" applyFill="1" applyBorder="1"/>
    <x:xf numFmtId="202" fontId="4" fillId="5" borderId="7" xfId="0" applyNumberFormat="1" applyFont="1" applyFill="1" applyBorder="1"/>
    <x:xf numFmtId="202" fontId="4" fillId="5" borderId="6" xfId="0" applyNumberFormat="1" applyFont="1" applyFill="1" applyBorder="1"/>
    <x:xf numFmtId="202" fontId="4" fillId="5" borderId="9" xfId="0" applyNumberFormat="1" applyFont="1" applyFill="1" applyBorder="1"/>
    <x:xf numFmtId="202" fontId="4" fillId="5" borderId="8" xfId="0" applyNumberFormat="1" applyFont="1" applyFill="1" applyBorder="1"/>
    <x:xf numFmtId="202" fontId="4" fillId="5" borderId="11" xfId="0" applyNumberFormat="1" applyFont="1" applyFill="1" applyBorder="1"/>
    <x:xf numFmtId="202" fontId="4" fillId="5" borderId="10" xfId="0" applyNumberFormat="1" applyFont="1" applyFill="1" applyBorder="1"/>
    <x:xf numFmtId="202" fontId="4" fillId="5" borderId="7" xfId="0" applyNumberFormat="1" applyFont="1" applyFill="1" applyBorder="1" applyAlignment="1">
      <x:alignment vertical="center"/>
    </x:xf>
    <x:xf numFmtId="202" fontId="4" fillId="5" borderId="6" xfId="0" applyNumberFormat="1" applyFont="1" applyFill="1" applyBorder="1" applyAlignment="1">
      <x:alignment vertical="center"/>
    </x:xf>
    <x:xf numFmtId="202" fontId="4" fillId="5" borderId="9" xfId="0" applyNumberFormat="1" applyFont="1" applyFill="1" applyBorder="1" applyAlignment="1">
      <x:alignment vertical="center"/>
    </x:xf>
    <x:xf numFmtId="202" fontId="4" fillId="5" borderId="8" xfId="0" applyNumberFormat="1" applyFont="1" applyFill="1" applyBorder="1" applyAlignment="1">
      <x:alignment vertical="center"/>
    </x:xf>
    <x:xf numFmtId="202" fontId="4" fillId="5" borderId="11" xfId="0" applyNumberFormat="1" applyFont="1" applyFill="1" applyBorder="1" applyAlignment="1">
      <x:alignment vertical="center"/>
    </x:xf>
    <x:xf numFmtId="202" fontId="4" fillId="5" borderId="10" xfId="0" applyNumberFormat="1" applyFont="1" applyFill="1" applyBorder="1" applyAlignment="1">
      <x:alignment vertical="center"/>
    </x:xf>
    <x:xf numFmtId="203" fontId="4" fillId="5" borderId="16" xfId="0" applyNumberFormat="1" applyFont="1" applyFill="1" applyBorder="1"/>
    <x:xf numFmtId="203" fontId="4" fillId="5" borderId="17" xfId="0" applyNumberFormat="1" applyFont="1" applyFill="1" applyBorder="1"/>
    <x:xf numFmtId="203" fontId="4" fillId="5" borderId="19" xfId="0" applyNumberFormat="1" applyFont="1" applyFill="1" applyBorder="1"/>
    <x:xf numFmtId="203" fontId="4" fillId="5" borderId="0" xfId="0" applyNumberFormat="1" applyFont="1" applyFill="1" applyBorder="1"/>
    <x:xf numFmtId="203" fontId="4" fillId="5" borderId="21" xfId="0" applyNumberFormat="1" applyFont="1" applyFill="1" applyBorder="1"/>
    <x:xf numFmtId="203" fontId="4" fillId="5" borderId="22" xfId="0" applyNumberFormat="1" applyFont="1" applyFill="1" applyBorder="1"/>
    <x:xf numFmtId="201" fontId="4" fillId="5" borderId="18" xfId="0" applyNumberFormat="1" applyFont="1" applyFill="1" applyBorder="1"/>
    <x:xf numFmtId="201" fontId="4" fillId="5" borderId="20" xfId="0" applyNumberFormat="1" applyFont="1" applyFill="1" applyBorder="1"/>
    <x:xf numFmtId="201" fontId="4" fillId="5" borderId="23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/>
    <x:xf numFmtId="204" fontId="0" fillId="0" borderId="6" xfId="0" applyNumberFormat="1" applyFont="1" applyFill="1" applyBorder="1"/>
    <x:xf numFmtId="204" fontId="0" fillId="0" borderId="8" xfId="0" applyNumberFormat="1" applyFont="1" applyFill="1" applyBorder="1"/>
    <x:xf numFmtId="204" fontId="0" fillId="0" borderId="10" xfId="0" applyNumberFormat="1" applyFont="1" applyFill="1" applyBorder="1"/>
    <x:xf numFmtId="204" fontId="0" fillId="0" borderId="6" xfId="0" applyNumberFormat="1" applyFont="1" applyFill="1" applyBorder="1" applyAlignment="1">
      <x:alignment vertical="center"/>
    </x:xf>
    <x:xf numFmtId="204" fontId="0" fillId="0" borderId="8" xfId="0" applyNumberFormat="1" applyFont="1" applyFill="1" applyBorder="1" applyAlignment="1">
      <x:alignment vertical="center"/>
    </x:xf>
    <x:xf numFmtId="204" fontId="0" fillId="0" borderId="10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201" fontId="0" fillId="0" borderId="8" xfId="0" applyNumberFormat="1" applyFont="1" applyFill="1" applyBorder="1" applyAlignment="1">
      <x:alignment vertical="center"/>
    </x:xf>
    <x:xf numFmtId="201" fontId="0" fillId="0" borderId="10" xfId="0" applyNumberFormat="1" applyFont="1" applyFill="1" applyBorder="1" applyAlignment="1">
      <x:alignment vertical="center"/>
    </x:xf>
    <x:xf numFmtId="201" fontId="3" fillId="2" borderId="12" xfId="0" applyNumberFormat="1" applyFont="1" applyFill="1" applyBorder="1"/>
    <x:xf numFmtId="201" fontId="3" fillId="2" borderId="2" xfId="0" applyNumberFormat="1" applyFont="1" applyFill="1" applyBorder="1"/>
    <x:xf numFmtId="0" fontId="0" fillId="7" borderId="8" xfId="0" applyNumberFormat="1" applyFont="1" applyFill="1" applyBorder="1" applyAlignment="1">
      <x:alignment vertical="center"/>
    </x:xf>
    <x:xf numFmtId="0" fontId="6" fillId="7" borderId="8" xfId="0" applyNumberFormat="1" applyFont="1" applyFill="1" applyBorder="1" applyAlignment="1">
      <x:alignment vertical="center"/>
    </x:xf>
    <x:xf numFmtId="0" fontId="6" fillId="7" borderId="24" xfId="0" applyNumberFormat="1" applyFont="1" applyFill="1" applyBorder="1" applyAlignment="1">
      <x:alignment vertical="center"/>
    </x:xf>
    <x:xf numFmtId="0" fontId="6" fillId="7" borderId="25" xfId="0" applyNumberFormat="1" applyFont="1" applyFill="1" applyBorder="1" applyAlignment="1">
      <x:alignment vertical="center"/>
    </x:xf>
    <x:xf numFmtId="0" fontId="6" fillId="7" borderId="26" xfId="0" applyNumberFormat="1" applyFont="1" applyFill="1" applyBorder="1" applyAlignment="1">
      <x:alignment vertical="center"/>
    </x:xf>
    <x:xf numFmtId="0" fontId="6" fillId="7" borderId="27" xfId="0" applyNumberFormat="1" applyFont="1" applyFill="1" applyBorder="1" applyAlignment="1">
      <x:alignment vertical="center"/>
    </x:xf>
    <x:xf numFmtId="0" fontId="6" fillId="7" borderId="28" xfId="0" applyNumberFormat="1" applyFont="1" applyFill="1" applyBorder="1" applyAlignment="1">
      <x:alignment vertical="center"/>
    </x:xf>
    <x:xf numFmtId="0" fontId="6" fillId="7" borderId="29" xfId="0" applyNumberFormat="1" applyFont="1" applyFill="1" applyBorder="1" applyAlignment="1">
      <x:alignment vertical="center"/>
    </x:xf>
    <x:xf numFmtId="0" fontId="6" fillId="7" borderId="30" xfId="0" applyNumberFormat="1" applyFont="1" applyFill="1" applyBorder="1" applyAlignment="1">
      <x:alignment vertical="center"/>
    </x:xf>
    <x:xf numFmtId="0" fontId="6" fillId="7" borderId="31" xfId="0" applyNumberFormat="1" applyFont="1" applyFill="1" applyBorder="1" applyAlignment="1">
      <x:alignment vertical="center"/>
    </x:xf>
    <x:xf numFmtId="205" fontId="0" fillId="0" borderId="6" xfId="0" applyNumberFormat="1" applyFont="1" applyFill="1" applyBorder="1" applyAlignment="1">
      <x:alignment vertical="center"/>
    </x:xf>
    <x:xf numFmtId="205" fontId="0" fillId="0" borderId="8" xfId="0" applyNumberFormat="1" applyFont="1" applyFill="1" applyBorder="1" applyAlignment="1">
      <x:alignment vertical="center"/>
    </x:xf>
    <x:xf numFmtId="201" fontId="6" fillId="7" borderId="25" xfId="0" applyNumberFormat="1" applyFont="1" applyFill="1" applyBorder="1" applyAlignment="1">
      <x:alignment vertical="center"/>
    </x:xf>
    <x:xf numFmtId="201" fontId="6" fillId="7" borderId="26" xfId="0" applyNumberFormat="1" applyFont="1" applyFill="1" applyBorder="1" applyAlignment="1">
      <x:alignment vertical="center"/>
    </x:xf>
    <x:xf numFmtId="201" fontId="6" fillId="7" borderId="8" xfId="0" applyNumberFormat="1" applyFont="1" applyFill="1" applyBorder="1" applyAlignment="1">
      <x:alignment vertical="center"/>
    </x:xf>
    <x:xf numFmtId="201" fontId="6" fillId="7" borderId="28" xfId="0" applyNumberFormat="1" applyFont="1" applyFill="1" applyBorder="1" applyAlignment="1">
      <x:alignment vertical="center"/>
    </x:xf>
    <x:xf numFmtId="201" fontId="6" fillId="7" borderId="30" xfId="0" applyNumberFormat="1" applyFont="1" applyFill="1" applyBorder="1" applyAlignment="1">
      <x:alignment vertical="center"/>
    </x:xf>
    <x:xf numFmtId="201" fontId="6" fillId="7" borderId="31" xfId="0" applyNumberFormat="1" applyFont="1" applyFill="1" applyBorder="1" applyAlignment="1">
      <x:alignment vertical="center"/>
    </x:xf>
    <x:xf numFmtId="206" fontId="0" fillId="0" borderId="10" xfId="0" applyNumberFormat="1" applyFont="1" applyFill="1" applyBorder="1" applyAlignment="1">
      <x:alignment vertical="center"/>
    </x:xf>
    <x:xf numFmtId="202" fontId="0" fillId="0" borderId="6" xfId="0" applyNumberFormat="1" applyFont="1" applyFill="1" applyBorder="1" applyAlignment="1">
      <x:alignment vertical="center"/>
    </x:xf>
    <x:xf numFmtId="202" fontId="0" fillId="0" borderId="8" xfId="0" applyNumberFormat="1" applyFont="1" applyFill="1" applyBorder="1" applyAlignment="1">
      <x:alignment vertical="center"/>
    </x:xf>
    <x:xf numFmtId="202" fontId="0" fillId="0" borderId="10" xfId="0" applyNumberFormat="1" applyFont="1" applyFill="1" applyBorder="1" applyAlignment="1">
      <x:alignment vertical="center"/>
    </x:xf>
    <x:xf numFmtId="0" fontId="0" fillId="6" borderId="6" xfId="0" applyNumberFormat="1" applyFont="1" applyFill="1" applyBorder="1" applyAlignment="1">
      <x:alignment vertical="center"/>
    </x:xf>
    <x:xf numFmtId="202" fontId="0" fillId="6" borderId="6" xfId="0" applyNumberFormat="1" applyFont="1" applyFill="1" applyBorder="1" applyAlignment="1">
      <x:alignment vertical="center"/>
    </x:xf>
    <x:xf numFmtId="201" fontId="0" fillId="6" borderId="6" xfId="0" applyNumberFormat="1" applyFont="1" applyFill="1" applyBorder="1" applyAlignment="1">
      <x:alignment vertical="center"/>
    </x:xf>
    <x:xf numFmtId="0" fontId="0" fillId="6" borderId="8" xfId="0" applyNumberFormat="1" applyFont="1" applyFill="1" applyBorder="1" applyAlignment="1">
      <x:alignment vertical="center"/>
    </x:xf>
    <x:xf numFmtId="202" fontId="0" fillId="6" borderId="8" xfId="0" applyNumberFormat="1" applyFont="1" applyFill="1" applyBorder="1" applyAlignment="1">
      <x:alignment vertical="center"/>
    </x:xf>
    <x:xf numFmtId="201" fontId="0" fillId="6" borderId="8" xfId="0" applyNumberFormat="1" applyFont="1" applyFill="1" applyBorder="1" applyAlignment="1">
      <x:alignment vertical="center"/>
    </x:xf>
    <x:xf numFmtId="202" fontId="0" fillId="7" borderId="8" xfId="0" applyNumberFormat="1" applyFont="1" applyFill="1" applyBorder="1" applyAlignment="1">
      <x:alignment vertical="center"/>
    </x:xf>
    <x:xf numFmtId="201" fontId="0" fillId="7" borderId="8" xfId="0" applyNumberFormat="1" applyFont="1" applyFill="1" applyBorder="1" applyAlignment="1">
      <x:alignment vertical="center"/>
    </x:xf>
    <x:xf numFmtId="0" fontId="0" fillId="8" borderId="8" xfId="0" applyNumberFormat="1" applyFont="1" applyFill="1" applyBorder="1" applyAlignment="1">
      <x:alignment vertical="center"/>
    </x:xf>
    <x:xf numFmtId="202" fontId="0" fillId="8" borderId="8" xfId="0" applyNumberFormat="1" applyFont="1" applyFill="1" applyBorder="1" applyAlignment="1">
      <x:alignment vertical="center"/>
    </x:xf>
    <x:xf numFmtId="201" fontId="0" fillId="8" borderId="8" xfId="0" applyNumberFormat="1" applyFont="1" applyFill="1" applyBorder="1" applyAlignment="1">
      <x:alignment vertical="center"/>
    </x:xf>
    <x:xf numFmtId="0" fontId="0" fillId="8" borderId="10" xfId="0" applyNumberFormat="1" applyFont="1" applyFill="1" applyBorder="1" applyAlignment="1">
      <x:alignment vertical="center"/>
    </x:xf>
    <x:xf numFmtId="202" fontId="0" fillId="8" borderId="10" xfId="0" applyNumberFormat="1" applyFont="1" applyFill="1" applyBorder="1" applyAlignment="1">
      <x:alignment vertical="center"/>
    </x:xf>
    <x:xf numFmtId="201" fontId="0" fillId="8" borderId="1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0" fontId="0" fillId="6" borderId="6" xfId="0" applyNumberFormat="1" applyFont="1" applyFill="1" applyBorder="1"/>
    <x:xf numFmtId="0" fontId="0" fillId="6" borderId="8" xfId="0" applyNumberFormat="1" applyFont="1" applyFill="1" applyBorder="1"/>
    <x:xf numFmtId="0" fontId="0" fillId="6" borderId="10" xfId="0" applyNumberFormat="1" applyFont="1" applyFill="1" applyBorder="1"/>
    <x:xf numFmtId="0" fontId="0" fillId="6" borderId="6" xfId="0" applyNumberFormat="1" applyFont="1" applyFill="1" applyBorder="1" applyAlignment="1">
      <x:alignment wrapText="1"/>
    </x:xf>
    <x:xf numFmtId="0" fontId="0" fillId="6" borderId="8" xfId="0" applyNumberFormat="1" applyFont="1" applyFill="1" applyBorder="1" applyAlignment="1">
      <x:alignment wrapText="1"/>
    </x:xf>
    <x:xf numFmtId="0" fontId="0" fillId="6" borderId="10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vertical="center" wrapText="1"/>
    </x:xf>
    <x:xf numFmtId="0" fontId="0" fillId="6" borderId="8" xfId="0" applyNumberFormat="1" applyFont="1" applyFill="1" applyBorder="1" applyAlignment="1">
      <x:alignment vertical="center" wrapText="1"/>
    </x:xf>
    <x:xf numFmtId="0" fontId="0" fillId="6" borderId="10" xfId="0" applyNumberFormat="1" applyFont="1" applyFill="1" applyBorder="1" applyAlignment="1">
      <x:alignment vertical="center" wrapText="1"/>
    </x:xf>
    <x:xf numFmtId="200" fontId="0" fillId="0" borderId="6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200" fontId="0" fillId="0" borderId="1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7" fillId="4" borderId="1" xfId="0" applyNumberFormat="1" applyFont="1" applyFill="1" applyBorder="1" applyAlignment="1">
      <x:alignment vertical="center" wrapText="1"/>
    </x:xf>
    <x:xf numFmtId="0" fontId="7" fillId="4" borderId="12" xfId="0" applyNumberFormat="1" applyFont="1" applyFill="1" applyBorder="1" applyAlignment="1">
      <x:alignment vertical="center" wrapText="1"/>
    </x:xf>
    <x:xf numFmtId="0" fontId="7" fillId="4" borderId="2" xfId="0" applyNumberFormat="1" applyFont="1" applyFill="1" applyBorder="1" applyAlignment="1">
      <x:alignment vertical="center" wrapText="1"/>
    </x:xf>
    <x:xf numFmtId="0" fontId="9" fillId="6" borderId="6" xfId="0" applyNumberFormat="1" applyFont="1" applyFill="1" applyBorder="1" applyAlignment="1">
      <x:alignment vertical="center"/>
    </x:xf>
    <x:xf numFmtId="202" fontId="9" fillId="6" borderId="6" xfId="0" applyNumberFormat="1" applyFont="1" applyFill="1" applyBorder="1" applyAlignment="1">
      <x:alignment vertical="center"/>
    </x:xf>
    <x:xf numFmtId="201" fontId="9" fillId="6" borderId="6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/>
    <x:xf numFmtId="0" fontId="9" fillId="6" borderId="8" xfId="0" applyNumberFormat="1" applyFont="1" applyFill="1" applyBorder="1" applyAlignment="1">
      <x:alignment vertical="center"/>
    </x:xf>
    <x:xf numFmtId="202" fontId="9" fillId="6" borderId="8" xfId="0" applyNumberFormat="1" applyFont="1" applyFill="1" applyBorder="1" applyAlignment="1">
      <x:alignment vertical="center"/>
    </x:xf>
    <x:xf numFmtId="201" fontId="9" fillId="6" borderId="8" xfId="0" applyNumberFormat="1" applyFont="1" applyFill="1" applyBorder="1" applyAlignment="1">
      <x:alignment vertical="center"/>
    </x:xf>
    <x:xf numFmtId="0" fontId="9" fillId="7" borderId="8" xfId="0" applyNumberFormat="1" applyFont="1" applyFill="1" applyBorder="1" applyAlignment="1">
      <x:alignment vertical="center"/>
    </x:xf>
    <x:xf numFmtId="202" fontId="9" fillId="7" borderId="8" xfId="0" applyNumberFormat="1" applyFont="1" applyFill="1" applyBorder="1" applyAlignment="1">
      <x:alignment vertical="center"/>
    </x:xf>
    <x:xf numFmtId="201" fontId="9" fillId="7" borderId="8" xfId="0" applyNumberFormat="1" applyFont="1" applyFill="1" applyBorder="1" applyAlignment="1">
      <x:alignment vertical="center"/>
    </x:xf>
    <x:xf numFmtId="0" fontId="9" fillId="8" borderId="8" xfId="0" applyNumberFormat="1" applyFont="1" applyFill="1" applyBorder="1" applyAlignment="1">
      <x:alignment vertical="center"/>
    </x:xf>
    <x:xf numFmtId="202" fontId="9" fillId="8" borderId="8" xfId="0" applyNumberFormat="1" applyFont="1" applyFill="1" applyBorder="1" applyAlignment="1">
      <x:alignment vertical="center"/>
    </x:xf>
    <x:xf numFmtId="201" fontId="9" fillId="8" borderId="8" xfId="0" applyNumberFormat="1" applyFont="1" applyFill="1" applyBorder="1" applyAlignment="1">
      <x:alignment vertical="center"/>
    </x:xf>
    <x:xf numFmtId="0" fontId="9" fillId="8" borderId="10" xfId="0" applyNumberFormat="1" applyFont="1" applyFill="1" applyBorder="1" applyAlignment="1">
      <x:alignment vertical="center"/>
    </x:xf>
    <x:xf numFmtId="202" fontId="9" fillId="8" borderId="10" xfId="0" applyNumberFormat="1" applyFont="1" applyFill="1" applyBorder="1" applyAlignment="1">
      <x:alignment vertical="center"/>
    </x:xf>
    <x:xf numFmtId="201" fontId="9" fillId="8" borderId="10" xfId="0" applyNumberFormat="1" applyFont="1" applyFill="1" applyBorder="1" applyAlignment="1">
      <x:alignment vertical="center"/>
    </x:xf>
    <x:xf numFmtId="0" fontId="9" fillId="0" borderId="6" xfId="0" applyNumberFormat="1" applyFont="1" applyFill="1" applyBorder="1" applyAlignment="1">
      <x:alignment vertical="center" wrapText="1"/>
    </x:xf>
    <x:xf numFmtId="0" fontId="9" fillId="0" borderId="8" xfId="0" applyNumberFormat="1" applyFont="1" applyFill="1" applyBorder="1" applyAlignment="1">
      <x:alignment vertical="center" wrapText="1"/>
    </x:xf>
    <x:xf numFmtId="0" fontId="9" fillId="0" borderId="10" xfId="0" applyNumberFormat="1" applyFont="1" applyFill="1" applyBorder="1" applyAlignment="1">
      <x:alignment vertical="center" wrapText="1"/>
    </x:xf>
    <x:xf numFmtId="0" fontId="7" fillId="2" borderId="1" xfId="0" applyNumberFormat="1" applyFont="1" applyFill="1" applyBorder="1"/>
    <x:xf numFmtId="0" fontId="7" fillId="2" borderId="12" xfId="0" applyNumberFormat="1" applyFont="1" applyFill="1" applyBorder="1"/>
    <x:xf numFmtId="0" fontId="7" fillId="2" borderId="2" xfId="0" applyNumberFormat="1" applyFont="1" applyFill="1" applyBorder="1"/>
    <x:xf numFmtId="0" fontId="9" fillId="6" borderId="6" xfId="0" applyNumberFormat="1" applyFont="1" applyFill="1" applyBorder="1" applyAlignment="1">
      <x:alignment vertical="center" wrapText="1"/>
    </x:xf>
    <x:xf numFmtId="0" fontId="9" fillId="6" borderId="8" xfId="0" applyNumberFormat="1" applyFont="1" applyFill="1" applyBorder="1" applyAlignment="1">
      <x:alignment vertical="center" wrapText="1"/>
    </x:xf>
    <x:xf numFmtId="0" fontId="9" fillId="6" borderId="10" xfId="0" applyNumberFormat="1" applyFont="1" applyFill="1" applyBorder="1" applyAlignment="1">
      <x:alignment vertical="center" wrapText="1"/>
    </x:xf>
    <x:xf numFmtId="0" fontId="9" fillId="0" borderId="6" xfId="0" applyNumberFormat="1" applyFont="1" applyFill="1" applyBorder="1" applyAlignment="1">
      <x:alignment vertical="center"/>
    </x:xf>
    <x:xf numFmtId="200" fontId="10" fillId="5" borderId="7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vertical="center"/>
    </x:xf>
    <x:xf numFmtId="200" fontId="10" fillId="5" borderId="9" xfId="0" applyNumberFormat="1" applyFont="1" applyFill="1" applyBorder="1" applyAlignment="1">
      <x:alignment vertical="center"/>
    </x:xf>
    <x:xf numFmtId="201" fontId="10" fillId="5" borderId="9" xfId="0" applyNumberFormat="1" applyFont="1" applyFill="1" applyBorder="1" applyAlignment="1">
      <x:alignment vertical="center"/>
    </x:xf>
    <x:xf numFmtId="0" fontId="9" fillId="0" borderId="10" xfId="0" applyNumberFormat="1" applyFont="1" applyFill="1" applyBorder="1" applyAlignment="1">
      <x:alignment vertical="center"/>
    </x:xf>
    <x:xf numFmtId="201" fontId="10" fillId="5" borderId="11" xfId="0" applyNumberFormat="1" applyFont="1" applyFill="1" applyBorder="1" applyAlignment="1">
      <x:alignment vertical="center"/>
    </x:xf>
    <x:xf numFmtId="202" fontId="10" fillId="5" borderId="13" xfId="0" applyNumberFormat="1" applyFont="1" applyFill="1" applyBorder="1"/>
    <x:xf numFmtId="202" fontId="10" fillId="5" borderId="14" xfId="0" applyNumberFormat="1" applyFont="1" applyFill="1" applyBorder="1"/>
    <x:xf numFmtId="202" fontId="10" fillId="5" borderId="15" xfId="0" applyNumberFormat="1" applyFont="1" applyFill="1" applyBorder="1"/>
    <x:xf numFmtId="202" fontId="10" fillId="5" borderId="7" xfId="0" applyNumberFormat="1" applyFont="1" applyFill="1" applyBorder="1" applyAlignment="1">
      <x:alignment vertical="center"/>
    </x:xf>
    <x:xf numFmtId="202" fontId="10" fillId="5" borderId="6" xfId="0" applyNumberFormat="1" applyFont="1" applyFill="1" applyBorder="1" applyAlignment="1">
      <x:alignment vertical="center"/>
    </x:xf>
    <x:xf numFmtId="202" fontId="10" fillId="5" borderId="9" xfId="0" applyNumberFormat="1" applyFont="1" applyFill="1" applyBorder="1" applyAlignment="1">
      <x:alignment vertical="center"/>
    </x:xf>
    <x:xf numFmtId="202" fontId="10" fillId="5" borderId="8" xfId="0" applyNumberFormat="1" applyFont="1" applyFill="1" applyBorder="1" applyAlignment="1">
      <x:alignment vertical="center"/>
    </x:xf>
    <x:xf numFmtId="202" fontId="10" fillId="5" borderId="11" xfId="0" applyNumberFormat="1" applyFont="1" applyFill="1" applyBorder="1" applyAlignment="1">
      <x:alignment vertical="center"/>
    </x:xf>
    <x:xf numFmtId="202" fontId="10" fillId="5" borderId="10" xfId="0" applyNumberFormat="1" applyFont="1" applyFill="1" applyBorder="1" applyAlignment="1">
      <x:alignment vertical="center"/>
    </x:xf>
    <x:xf numFmtId="203" fontId="10" fillId="5" borderId="16" xfId="0" applyNumberFormat="1" applyFont="1" applyFill="1" applyBorder="1"/>
    <x:xf numFmtId="203" fontId="10" fillId="5" borderId="17" xfId="0" applyNumberFormat="1" applyFont="1" applyFill="1" applyBorder="1"/>
    <x:xf numFmtId="201" fontId="10" fillId="5" borderId="18" xfId="0" applyNumberFormat="1" applyFont="1" applyFill="1" applyBorder="1"/>
    <x:xf numFmtId="203" fontId="10" fillId="5" borderId="19" xfId="0" applyNumberFormat="1" applyFont="1" applyFill="1" applyBorder="1"/>
    <x:xf numFmtId="203" fontId="10" fillId="5" borderId="0" xfId="0" applyNumberFormat="1" applyFont="1" applyFill="1" applyBorder="1"/>
    <x:xf numFmtId="201" fontId="10" fillId="5" borderId="20" xfId="0" applyNumberFormat="1" applyFont="1" applyFill="1" applyBorder="1"/>
    <x:xf numFmtId="203" fontId="10" fillId="5" borderId="21" xfId="0" applyNumberFormat="1" applyFont="1" applyFill="1" applyBorder="1"/>
    <x:xf numFmtId="203" fontId="10" fillId="5" borderId="22" xfId="0" applyNumberFormat="1" applyFont="1" applyFill="1" applyBorder="1"/>
    <x:xf numFmtId="201" fontId="10" fillId="5" borderId="23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center" wrapText="1"/>
    </x:xf>
    <x:xf numFmtId="204" fontId="9" fillId="0" borderId="6" xfId="0" applyNumberFormat="1" applyFont="1" applyFill="1" applyBorder="1" applyAlignment="1">
      <x:alignment vertical="center"/>
    </x:xf>
    <x:xf numFmtId="204" fontId="9" fillId="0" borderId="8" xfId="0" applyNumberFormat="1" applyFont="1" applyFill="1" applyBorder="1" applyAlignment="1">
      <x:alignment vertical="center"/>
    </x:xf>
    <x:xf numFmtId="204" fontId="9" fillId="0" borderId="10" xfId="0" applyNumberFormat="1" applyFont="1" applyFill="1" applyBorder="1" applyAlignment="1">
      <x:alignment vertical="center"/>
    </x:xf>
    <x:xf numFmtId="201" fontId="9" fillId="0" borderId="6" xfId="0" applyNumberFormat="1" applyFont="1" applyFill="1" applyBorder="1" applyAlignment="1">
      <x:alignment vertical="center"/>
    </x:xf>
    <x:xf numFmtId="201" fontId="9" fillId="0" borderId="8" xfId="0" applyNumberFormat="1" applyFont="1" applyFill="1" applyBorder="1" applyAlignment="1">
      <x:alignment vertical="center"/>
    </x:xf>
    <x:xf numFmtId="201" fontId="9" fillId="0" borderId="10" xfId="0" applyNumberFormat="1" applyFont="1" applyFill="1" applyBorder="1" applyAlignment="1">
      <x:alignment vertical="center"/>
    </x:xf>
    <x:xf numFmtId="201" fontId="7" fillId="2" borderId="12" xfId="0" applyNumberFormat="1" applyFont="1" applyFill="1" applyBorder="1"/>
    <x:xf numFmtId="201" fontId="7" fillId="2" borderId="2" xfId="0" applyNumberFormat="1" applyFont="1" applyFill="1" applyBorder="1"/>
    <x:xf numFmtId="205" fontId="9" fillId="0" borderId="6" xfId="0" applyNumberFormat="1" applyFont="1" applyFill="1" applyBorder="1" applyAlignment="1">
      <x:alignment vertical="center"/>
    </x:xf>
    <x:xf numFmtId="205" fontId="9" fillId="0" borderId="8" xfId="0" applyNumberFormat="1" applyFont="1" applyFill="1" applyBorder="1" applyAlignment="1">
      <x:alignment vertical="center"/>
    </x:xf>
    <x:xf numFmtId="0" fontId="11" fillId="7" borderId="24" xfId="0" applyNumberFormat="1" applyFont="1" applyFill="1" applyBorder="1" applyAlignment="1">
      <x:alignment vertical="center"/>
    </x:xf>
    <x:xf numFmtId="201" fontId="11" fillId="7" borderId="25" xfId="0" applyNumberFormat="1" applyFont="1" applyFill="1" applyBorder="1" applyAlignment="1">
      <x:alignment vertical="center"/>
    </x:xf>
    <x:xf numFmtId="201" fontId="11" fillId="7" borderId="26" xfId="0" applyNumberFormat="1" applyFont="1" applyFill="1" applyBorder="1" applyAlignment="1">
      <x:alignment vertical="center"/>
    </x:xf>
    <x:xf numFmtId="0" fontId="11" fillId="7" borderId="27" xfId="0" applyNumberFormat="1" applyFont="1" applyFill="1" applyBorder="1" applyAlignment="1">
      <x:alignment vertical="center"/>
    </x:xf>
    <x:xf numFmtId="201" fontId="11" fillId="7" borderId="8" xfId="0" applyNumberFormat="1" applyFont="1" applyFill="1" applyBorder="1" applyAlignment="1">
      <x:alignment vertical="center"/>
    </x:xf>
    <x:xf numFmtId="201" fontId="11" fillId="7" borderId="28" xfId="0" applyNumberFormat="1" applyFont="1" applyFill="1" applyBorder="1" applyAlignment="1">
      <x:alignment vertical="center"/>
    </x:xf>
    <x:xf numFmtId="0" fontId="11" fillId="7" borderId="29" xfId="0" applyNumberFormat="1" applyFont="1" applyFill="1" applyBorder="1" applyAlignment="1">
      <x:alignment vertical="center"/>
    </x:xf>
    <x:xf numFmtId="201" fontId="11" fillId="7" borderId="30" xfId="0" applyNumberFormat="1" applyFont="1" applyFill="1" applyBorder="1" applyAlignment="1">
      <x:alignment vertical="center"/>
    </x:xf>
    <x:xf numFmtId="201" fontId="11" fillId="7" borderId="31" xfId="0" applyNumberFormat="1" applyFont="1" applyFill="1" applyBorder="1" applyAlignment="1">
      <x:alignment vertical="center"/>
    </x:xf>
    <x:xf numFmtId="206" fontId="9" fillId="0" borderId="10" xfId="0" applyNumberFormat="1" applyFont="1" applyFill="1" applyBorder="1" applyAlignment="1">
      <x:alignment vertical="center"/>
    </x:xf>
    <x:xf numFmtId="202" fontId="9" fillId="0" borderId="6" xfId="0" applyNumberFormat="1" applyFont="1" applyFill="1" applyBorder="1" applyAlignment="1">
      <x:alignment vertical="center"/>
    </x:xf>
    <x:xf numFmtId="202" fontId="9" fillId="0" borderId="8" xfId="0" applyNumberFormat="1" applyFont="1" applyFill="1" applyBorder="1" applyAlignment="1">
      <x:alignment vertical="center"/>
    </x:xf>
    <x:xf numFmtId="202" fontId="9" fillId="0" borderId="10" xfId="0" applyNumberFormat="1" applyFont="1" applyFill="1" applyBorder="1" applyAlignment="1">
      <x:alignment vertical="center"/>
    </x:xf>
    <x:xf numFmtId="200" fontId="9" fillId="0" borderId="6" xfId="0" applyNumberFormat="1" applyFont="1" applyFill="1" applyBorder="1" applyAlignment="1">
      <x:alignment vertical="center" wrapText="1"/>
    </x:xf>
    <x:xf numFmtId="200" fontId="9" fillId="0" borderId="8" xfId="0" applyNumberFormat="1" applyFont="1" applyFill="1" applyBorder="1" applyAlignment="1">
      <x:alignment vertical="center" wrapText="1"/>
    </x:xf>
    <x:xf numFmtId="200" fontId="9" fillId="0" borderId="6" xfId="0" applyNumberFormat="1" applyFont="1" applyFill="1" applyBorder="1" applyAlignment="1">
      <x:alignment vertical="center"/>
    </x:xf>
    <x:xf numFmtId="200" fontId="9" fillId="0" borderId="8" xfId="0" applyNumberFormat="1" applyFont="1" applyFill="1" applyBorder="1" applyAlignment="1">
      <x:alignment vertical="center"/>
    </x:xf>
    <x:xf numFmtId="200" fontId="9" fillId="0" borderId="10" xfId="0" applyNumberFormat="1" applyFont="1" applyFill="1" applyBorder="1" applyAlignment="1">
      <x:alignment vertical="center"/>
    </x:xf>
    <x:xf numFmtId="0" fontId="12" fillId="2" borderId="0" xfId="0" applyNumberFormat="1" applyFont="1" applyFill="1" applyBorder="1" applyAlignment="1">
      <x:alignment vertical="center"/>
    </x:xf>
    <x:xf numFmtId="0" fontId="1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2a479f3e6c4061" /><Relationship Type="http://schemas.openxmlformats.org/officeDocument/2006/relationships/theme" Target="/xl/theme/theme1.xml" Id="R613974d152ac4551" /><Relationship Type="http://schemas.openxmlformats.org/officeDocument/2006/relationships/sharedStrings" Target="/xl/sharedStrings.xml" Id="Rea8f00ed7aa749d5" /><Relationship Type="http://schemas.openxmlformats.org/officeDocument/2006/relationships/worksheet" Target="/xl/worksheets/sheet1.xml" Id="R2ce1f9fe68d746c5" /><Relationship Type="http://schemas.openxmlformats.org/officeDocument/2006/relationships/worksheet" Target="/xl/worksheets/sheet2.xml" Id="Rc0a1b41b173e4185" /><Relationship Type="http://schemas.openxmlformats.org/officeDocument/2006/relationships/worksheet" Target="/xl/worksheets/sheet3.xml" Id="R0fc63f0045d34ebf" /><Relationship Type="http://schemas.openxmlformats.org/officeDocument/2006/relationships/worksheet" Target="/xl/worksheets/sheet4.xml" Id="R9e3f531c915847de" /><Relationship Type="http://schemas.openxmlformats.org/officeDocument/2006/relationships/worksheet" Target="/xl/worksheets/sheet5.xml" Id="Rcd957877f10548aa" /><Relationship Type="http://schemas.openxmlformats.org/officeDocument/2006/relationships/worksheet" Target="/xl/worksheets/sheet6.xml" Id="R93989901015f439d" /><Relationship Type="http://schemas.openxmlformats.org/officeDocument/2006/relationships/worksheet" Target="/xl/worksheets/sheet7.xml" Id="Rb228b8275f0a40a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da41d2a8a7f46c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operating-platform TCO: software vs labour (CAD)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Software + AI</c:v>
          </c:tx>
          <c:cat>
            <c:strRef>
              <c:f>'Executive Summary'!$I$5:$I$13</c:f>
              <c:strCache>
                <c:ptCount val="0"/>
              </c:strCache>
            </c:strRef>
          </c:cat>
          <c:val>
            <c:numRef>
              <c:f>'Executive Summary'!$J$5:$J$13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Platform labour</c:v>
          </c:tx>
          <c:cat>
            <c:strRef>
              <c:f>'Executive Summary'!$I$5:$I$13</c:f>
              <c:strCache>
                <c:ptCount val="0"/>
              </c:strCache>
            </c:strRef>
          </c:cat>
          <c:val>
            <c:numRef>
              <c:f>'Executive Summary'!$K$5:$K$13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14</xdr:row>
      <xdr:rowOff>0</xdr:rowOff>
    </xdr:from>
    <xdr:to>
      <xdr:col>16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da41d2a8a7f46c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latformCatalogTable" displayName="PlatformCatalogTable" ref="A4:I20" headerRowCount="1" totalsRowCount="0" totalsRowShown="0">
  <x:tableColumns count="9">
    <x:tableColumn id="1" name="ID"/>
    <x:tableColumn id="2" name="Category"/>
    <x:tableColumn id="3" name="Vendor / plan"/>
    <x:tableColumn id="4" name="Billing unit"/>
    <x:tableColumn id="5" name="Currency"/>
    <x:tableColumn id="6" name="Native price / month"/>
    <x:tableColumn id="7" name="CAD price / month"/>
    <x:tableColumn id="8" name="Source URL"/>
    <x:tableColumn id="9" name="Planning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sTable" displayName="SourcesTable" ref="A4:H18" headerRowCount="1" totalsRowCount="0" totalsRowShown="0">
  <x:tableColumns count="8">
    <x:tableColumn id="1" name="Item"/>
    <x:tableColumn id="2" name="Value used"/>
    <x:tableColumn id="3" name="Units"/>
    <x:tableColumn id="4" name="As of"/>
    <x:tableColumn id="5" name="Source type"/>
    <x:tableColumn id="6" name="Source name"/>
    <x:tableColumn id="7" name="URL / reference"/>
    <x:tableColumn id="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d53a040289c4a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f3d5b22ca31f42d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c40d7ec4da084c5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9" max="9" width="29" hidden="0" customWidth="1"/>
    <x:col min="10" max="10" width="17" hidden="0" customWidth="1"/>
    <x:col min="11" max="11" width="17" hidden="0" customWidth="1"/>
  </x:cols>
  <x:sheetData>
    <x:row r="1" ht="15" hidden="0" customHeight="1">
      <x:c r="A1" s="250" t="str">
        <x:v>Managed AI SaaS and Advanced Workload Platform — Cost Summary</x:v>
      </x:c>
      <x:c r="B1" s="250" t="str">
        <x:v>Managed AI SaaS and Advanced Workload Platform — Cost Summary</x:v>
      </x:c>
      <x:c r="C1" s="250" t="str">
        <x:v>Managed AI SaaS and Advanced Workload Platform — Cost Summary</x:v>
      </x:c>
      <x:c r="D1" s="250" t="str">
        <x:v>Managed AI SaaS and Advanced Workload Platform — Cost Summary</x:v>
      </x:c>
      <x:c r="E1" s="250" t="str">
        <x:v>Managed AI SaaS and Advanced Workload Platform — Cost Summary</x:v>
      </x:c>
      <x:c r="F1" s="250" t="str">
        <x:v>Managed AI SaaS and Advanced Workload Platform — Cost Summary</x:v>
      </x:c>
      <x:c r="G1" s="250" t="str">
        <x:v>Managed AI SaaS and Advanced Workload Platform — Cost Summary</x:v>
      </x:c>
      <x:c r="H1" s="250" t="str">
        <x:v>Managed AI SaaS and Advanced Workload Platform — Cost Summary</x:v>
      </x:c>
      <x:c r="I1" s="250" t="str">
        <x:v>Managed AI SaaS and Advanced Workload Platform — Cost Summary</x:v>
      </x:c>
      <x:c r="J1" s="250" t="str">
        <x:v>Managed AI SaaS and Advanced Workload Platform — Cost Summary</x:v>
      </x:c>
      <x:c r="K1" s="250" t="str">
        <x:v>Managed AI SaaS and Advanced Workload Platform — Cost Summary</x:v>
      </x:c>
      <x:c r="L1" s="250" t="str">
        <x:v>Managed AI SaaS and Advanced Workload Platform — Cost Summary</x:v>
      </x:c>
      <x:c r="M1" s="250" t="str">
        <x:v>Managed AI SaaS and Advanced Workload Platform — Cost Summary</x:v>
      </x:c>
      <x:c r="N1" s="250" t="str">
        <x:v>Managed AI SaaS and Advanced Workload Platform — Cost Summary</x:v>
      </x:c>
      <x:c r="O1" s="250" t="str">
        <x:v>Managed AI SaaS and Advanced Workload Platform — Cost Summary</x:v>
      </x:c>
      <x:c r="P1" s="250" t="str">
        <x:v>Managed AI SaaS and Advanced Workload Platform — Cost Summary</x:v>
      </x:c>
    </x:row>
    <x:row r="2" ht="15" hidden="0" customHeight="1">
      <x:c r="A2" s="165" t="str">
        <x:v>Core means packaged AI SaaS access, support, training, spend and renewal operations. Hosted/data/custom AI is a separately scoped advanced service.</x:v>
      </x:c>
      <x:c r="B2" s="165" t="str">
        <x:v>Core means packaged AI SaaS access, support, training, spend and renewal operations. Hosted/data/custom AI is a separately scoped advanced service.</x:v>
      </x:c>
      <x:c r="C2" s="165" t="str">
        <x:v>Core means packaged AI SaaS access, support, training, spend and renewal operations. Hosted/data/custom AI is a separately scoped advanced service.</x:v>
      </x:c>
      <x:c r="D2" s="165" t="str">
        <x:v>Core means packaged AI SaaS access, support, training, spend and renewal operations. Hosted/data/custom AI is a separately scoped advanced service.</x:v>
      </x:c>
      <x:c r="E2" s="165" t="str">
        <x:v>Core means packaged AI SaaS access, support, training, spend and renewal operations. Hosted/data/custom AI is a separately scoped advanced service.</x:v>
      </x:c>
      <x:c r="F2" s="165" t="str">
        <x:v>Core means packaged AI SaaS access, support, training, spend and renewal operations. Hosted/data/custom AI is a separately scoped advanced service.</x:v>
      </x:c>
      <x:c r="G2" s="165" t="str">
        <x:v>Core means packaged AI SaaS access, support, training, spend and renewal operations. Hosted/data/custom AI is a separately scoped advanced service.</x:v>
      </x:c>
      <x:c r="H2" s="165" t="str">
        <x:v>Core means packaged AI SaaS access, support, training, spend and renewal operations. Hosted/data/custom AI is a separately scoped advanced service.</x:v>
      </x:c>
      <x:c r="I2" s="165" t="str">
        <x:v>Core means packaged AI SaaS access, support, training, spend and renewal operations. Hosted/data/custom AI is a separately scoped advanced service.</x:v>
      </x:c>
      <x:c r="J2" s="165" t="str">
        <x:v>Core means packaged AI SaaS access, support, training, spend and renewal operations. Hosted/data/custom AI is a separately scoped advanced service.</x:v>
      </x:c>
      <x:c r="K2" s="165" t="str">
        <x:v>Core means packaged AI SaaS access, support, training, spend and renewal operations. Hosted/data/custom AI is a separately scoped advanced service.</x:v>
      </x:c>
      <x:c r="L2" s="165" t="str">
        <x:v>Core means packaged AI SaaS access, support, training, spend and renewal operations. Hosted/data/custom AI is a separately scoped advanced service.</x:v>
      </x:c>
      <x:c r="M2" s="165" t="str">
        <x:v>Core means packaged AI SaaS access, support, training, spend and renewal operations. Hosted/data/custom AI is a separately scoped advanced service.</x:v>
      </x:c>
      <x:c r="N2" s="165" t="str">
        <x:v>Core means packaged AI SaaS access, support, training, spend and renewal operations. Hosted/data/custom AI is a separately scoped advanced service.</x:v>
      </x:c>
      <x:c r="O2" s="165" t="str">
        <x:v>Core means packaged AI SaaS access, support, training, spend and renewal operations. Hosted/data/custom AI is a separately scoped advanced service.</x:v>
      </x:c>
      <x:c r="P2" s="165" t="str">
        <x:v>Core means packaged AI SaaS access, support, training, spend and renewal operations. Hosted/data/custom AI is a separately scoped advanced service.</x:v>
      </x:c>
    </x:row>
    <x:row r="3" ht="15" hidden="0" customHeight="1">
      <x:c r="A3" s="166"/>
      <x:c r="B3" s="166"/>
      <x:c r="C3" s="166"/>
      <x:c r="D3" s="166"/>
      <x:c r="E3" s="166"/>
      <x:c r="F3" s="166"/>
      <x:c r="G3" s="166"/>
      <x:c r="H3" s="166"/>
      <x:c r="I3" s="166"/>
      <x:c r="J3" s="166"/>
      <x:c r="K3" s="166"/>
      <x:c r="L3" s="166"/>
      <x:c r="M3" s="166"/>
      <x:c r="N3" s="166"/>
      <x:c r="O3" s="166"/>
      <x:c r="P3" s="166"/>
    </x:row>
    <x:row r="4" ht="24" hidden="0" customHeight="1">
      <x:c r="A4" s="167" t="str">
        <x:v>Option</x:v>
      </x:c>
      <x:c r="B4" s="168" t="str">
        <x:v>Clients</x:v>
      </x:c>
      <x:c r="C4" s="168" t="str">
        <x:v>Monthly software + AI</x:v>
      </x:c>
      <x:c r="D4" s="168" t="str">
        <x:v>Monthly platform labour</x:v>
      </x:c>
      <x:c r="E4" s="168" t="str">
        <x:v>Monthly TCO</x:v>
      </x:c>
      <x:c r="F4" s="168" t="str">
        <x:v>TCO / client</x:v>
      </x:c>
      <x:c r="G4" s="169" t="str">
        <x:v>Annual TCO</x:v>
      </x:c>
      <x:c r="H4" s="166"/>
      <x:c r="I4" s="167" t="str">
        <x:v>Case</x:v>
      </x:c>
      <x:c r="J4" s="168" t="str">
        <x:v>Software + AI</x:v>
      </x:c>
      <x:c r="K4" s="169" t="str">
        <x:v>Platform labour</x:v>
      </x:c>
      <x:c r="L4" s="166"/>
      <x:c r="M4" s="166"/>
      <x:c r="N4" s="166"/>
      <x:c r="O4" s="166"/>
      <x:c r="P4" s="166"/>
    </x:row>
    <x:row r="5" ht="15" hidden="0" customHeight="1">
      <x:c r="A5" s="170" t="str">
        <x:v>Core managed AI SaaS</x:v>
      </x:c>
      <x:c r="B5" s="171" t="n">
        <x:f>'Scenario Model'!B24</x:f>
        <x:v>1</x:v>
      </x:c>
      <x:c r="C5" s="172" t="n">
        <x:f>'Scenario Model'!B22</x:f>
        <x:v>225.9114</x:v>
      </x:c>
      <x:c r="D5" s="172" t="n">
        <x:f>'Scenario Model'!B28</x:f>
        <x:v>750</x:v>
      </x:c>
      <x:c r="E5" s="172" t="n">
        <x:f>'Scenario Model'!B29</x:f>
        <x:v>975.9114</x:v>
      </x:c>
      <x:c r="F5" s="172" t="n">
        <x:f>'Scenario Model'!B30</x:f>
        <x:v>975.9114</x:v>
      </x:c>
      <x:c r="G5" s="172" t="n">
        <x:f>'Scenario Model'!B31</x:f>
        <x:v>11710.9368</x:v>
      </x:c>
      <x:c r="H5" s="166"/>
      <x:c r="I5" s="166" t="str">
        <x:f>A5&amp;" / "&amp;B5&amp;" clients"</x:f>
        <x:v>Core managed AI SaaS / 1 clients</x:v>
      </x:c>
      <x:c r="J5" s="173" t="n">
        <x:f>C5</x:f>
        <x:v>225.9114</x:v>
      </x:c>
      <x:c r="K5" s="173" t="n">
        <x:f>D5</x:f>
        <x:v>750</x:v>
      </x:c>
      <x:c r="L5" s="166"/>
      <x:c r="M5" s="166"/>
      <x:c r="N5" s="166"/>
      <x:c r="O5" s="166"/>
      <x:c r="P5" s="166"/>
    </x:row>
    <x:row r="6" ht="15" hidden="0" customHeight="1">
      <x:c r="A6" s="174" t="str">
        <x:v>Core managed AI SaaS</x:v>
      </x:c>
      <x:c r="B6" s="175" t="n">
        <x:f>'Scenario Model'!C24</x:f>
        <x:v>5</x:v>
      </x:c>
      <x:c r="C6" s="176" t="n">
        <x:f>'Scenario Model'!C22</x:f>
        <x:v>488.02379999999994</x:v>
      </x:c>
      <x:c r="D6" s="176" t="n">
        <x:f>'Scenario Model'!C28</x:f>
        <x:v>1350</x:v>
      </x:c>
      <x:c r="E6" s="176" t="n">
        <x:f>'Scenario Model'!C29</x:f>
        <x:v>1838.0238</x:v>
      </x:c>
      <x:c r="F6" s="176" t="n">
        <x:f>'Scenario Model'!C30</x:f>
        <x:v>367.60476</x:v>
      </x:c>
      <x:c r="G6" s="176" t="n">
        <x:f>'Scenario Model'!C31</x:f>
        <x:v>22056.2856</x:v>
      </x:c>
      <x:c r="H6" s="166"/>
      <x:c r="I6" s="166" t="str">
        <x:f>A6&amp;" / "&amp;B6&amp;" clients"</x:f>
        <x:v>Core managed AI SaaS / 5 clients</x:v>
      </x:c>
      <x:c r="J6" s="173" t="n">
        <x:f>C6</x:f>
        <x:v>488.02379999999994</x:v>
      </x:c>
      <x:c r="K6" s="173" t="n">
        <x:f>D6</x:f>
        <x:v>1350</x:v>
      </x:c>
      <x:c r="L6" s="166"/>
      <x:c r="M6" s="166"/>
      <x:c r="N6" s="166"/>
      <x:c r="O6" s="166"/>
      <x:c r="P6" s="166"/>
    </x:row>
    <x:row r="7" ht="15" hidden="0" customHeight="1">
      <x:c r="A7" s="174" t="str">
        <x:v>Core managed AI SaaS</x:v>
      </x:c>
      <x:c r="B7" s="175" t="n">
        <x:f>'Scenario Model'!D24</x:f>
        <x:v>15</x:v>
      </x:c>
      <x:c r="C7" s="176" t="n">
        <x:f>'Scenario Model'!D22</x:f>
        <x:v>865.3426</x:v>
      </x:c>
      <x:c r="D7" s="176" t="n">
        <x:f>'Scenario Model'!D28</x:f>
        <x:v>2850</x:v>
      </x:c>
      <x:c r="E7" s="176" t="n">
        <x:f>'Scenario Model'!D29</x:f>
        <x:v>3715.3426</x:v>
      </x:c>
      <x:c r="F7" s="176" t="n">
        <x:f>'Scenario Model'!D30</x:f>
        <x:v>247.68950666666666</x:v>
      </x:c>
      <x:c r="G7" s="176" t="n">
        <x:f>'Scenario Model'!D31</x:f>
        <x:v>44584.1112</x:v>
      </x:c>
      <x:c r="H7" s="166"/>
      <x:c r="I7" s="166" t="str">
        <x:f>A7&amp;" / "&amp;B7&amp;" clients"</x:f>
        <x:v>Core managed AI SaaS / 15 clients</x:v>
      </x:c>
      <x:c r="J7" s="173" t="n">
        <x:f>C7</x:f>
        <x:v>865.3426</x:v>
      </x:c>
      <x:c r="K7" s="173" t="n">
        <x:f>D7</x:f>
        <x:v>2850</x:v>
      </x:c>
      <x:c r="L7" s="166"/>
      <x:c r="M7" s="166"/>
      <x:c r="N7" s="166"/>
      <x:c r="O7" s="166"/>
      <x:c r="P7" s="166"/>
    </x:row>
    <x:row r="8" ht="15" hidden="0" customHeight="1">
      <x:c r="A8" s="177" t="str">
        <x:v>Hybrid SaaS platform</x:v>
      </x:c>
      <x:c r="B8" s="178" t="n">
        <x:f>'Scenario Model'!E24</x:f>
        <x:v>1</x:v>
      </x:c>
      <x:c r="C8" s="179" t="n">
        <x:f>'Scenario Model'!E22</x:f>
        <x:v>591.8163</x:v>
      </x:c>
      <x:c r="D8" s="179" t="n">
        <x:f>'Scenario Model'!E28</x:f>
        <x:v>1687.5</x:v>
      </x:c>
      <x:c r="E8" s="179" t="n">
        <x:f>'Scenario Model'!E29</x:f>
        <x:v>2279.3163</x:v>
      </x:c>
      <x:c r="F8" s="179" t="n">
        <x:f>'Scenario Model'!E30</x:f>
        <x:v>2279.3163</x:v>
      </x:c>
      <x:c r="G8" s="179" t="n">
        <x:f>'Scenario Model'!E31</x:f>
        <x:v>27351.795599999998</x:v>
      </x:c>
      <x:c r="H8" s="166"/>
      <x:c r="I8" s="166" t="str">
        <x:f>A8&amp;" / "&amp;B8&amp;" clients"</x:f>
        <x:v>Hybrid SaaS platform / 1 clients</x:v>
      </x:c>
      <x:c r="J8" s="173" t="n">
        <x:f>C8</x:f>
        <x:v>591.8163</x:v>
      </x:c>
      <x:c r="K8" s="173" t="n">
        <x:f>D8</x:f>
        <x:v>1687.5</x:v>
      </x:c>
      <x:c r="L8" s="166"/>
      <x:c r="M8" s="166"/>
      <x:c r="N8" s="166"/>
      <x:c r="O8" s="166"/>
      <x:c r="P8" s="166"/>
    </x:row>
    <x:row r="9" ht="15" hidden="0" customHeight="1">
      <x:c r="A9" s="177" t="str">
        <x:v>Hybrid SaaS platform</x:v>
      </x:c>
      <x:c r="B9" s="178" t="n">
        <x:f>'Scenario Model'!F24</x:f>
        <x:v>5</x:v>
      </x:c>
      <x:c r="C9" s="179" t="n">
        <x:f>'Scenario Model'!F22</x:f>
        <x:v>1022.9275999999999</x:v>
      </x:c>
      <x:c r="D9" s="179" t="n">
        <x:f>'Scenario Model'!F28</x:f>
        <x:v>2437.5</x:v>
      </x:c>
      <x:c r="E9" s="179" t="n">
        <x:f>'Scenario Model'!F29</x:f>
        <x:v>3460.4276</x:v>
      </x:c>
      <x:c r="F9" s="179" t="n">
        <x:f>'Scenario Model'!F30</x:f>
        <x:v>692.08552</x:v>
      </x:c>
      <x:c r="G9" s="179" t="n">
        <x:f>'Scenario Model'!F31</x:f>
        <x:v>41525.1312</x:v>
      </x:c>
      <x:c r="H9" s="166"/>
      <x:c r="I9" s="166" t="str">
        <x:f>A9&amp;" / "&amp;B9&amp;" clients"</x:f>
        <x:v>Hybrid SaaS platform / 5 clients</x:v>
      </x:c>
      <x:c r="J9" s="173" t="n">
        <x:f>C9</x:f>
        <x:v>1022.9275999999999</x:v>
      </x:c>
      <x:c r="K9" s="173" t="n">
        <x:f>D9</x:f>
        <x:v>2437.5</x:v>
      </x:c>
      <x:c r="L9" s="166"/>
      <x:c r="M9" s="166"/>
      <x:c r="N9" s="166"/>
      <x:c r="O9" s="166"/>
      <x:c r="P9" s="166"/>
    </x:row>
    <x:row r="10" ht="15" hidden="0" customHeight="1">
      <x:c r="A10" s="177" t="str">
        <x:v>Hybrid SaaS platform</x:v>
      </x:c>
      <x:c r="B10" s="178" t="n">
        <x:f>'Scenario Model'!G24</x:f>
        <x:v>15</x:v>
      </x:c>
      <x:c r="C10" s="179" t="n">
        <x:f>'Scenario Model'!G22</x:f>
        <x:v>1788.2772</x:v>
      </x:c>
      <x:c r="D10" s="179" t="n">
        <x:f>'Scenario Model'!G28</x:f>
        <x:v>4312.5</x:v>
      </x:c>
      <x:c r="E10" s="179" t="n">
        <x:f>'Scenario Model'!G29</x:f>
        <x:v>6100.7772</x:v>
      </x:c>
      <x:c r="F10" s="179" t="n">
        <x:f>'Scenario Model'!G30</x:f>
        <x:v>406.71848000000006</x:v>
      </x:c>
      <x:c r="G10" s="179" t="n">
        <x:f>'Scenario Model'!G31</x:f>
        <x:v>73209.3264</x:v>
      </x:c>
      <x:c r="H10" s="166"/>
      <x:c r="I10" s="166" t="str">
        <x:f>A10&amp;" / "&amp;B10&amp;" clients"</x:f>
        <x:v>Hybrid SaaS platform / 15 clients</x:v>
      </x:c>
      <x:c r="J10" s="173" t="n">
        <x:f>C10</x:f>
        <x:v>1788.2772</x:v>
      </x:c>
      <x:c r="K10" s="173" t="n">
        <x:f>D10</x:f>
        <x:v>4312.5</x:v>
      </x:c>
      <x:c r="L10" s="166"/>
      <x:c r="M10" s="166"/>
      <x:c r="N10" s="166"/>
      <x:c r="O10" s="166"/>
      <x:c r="P10" s="166"/>
    </x:row>
    <x:row r="11" ht="15" hidden="0" customHeight="1">
      <x:c r="A11" s="180" t="str">
        <x:v>Advanced AI workloads</x:v>
      </x:c>
      <x:c r="B11" s="181" t="n">
        <x:f>'Scenario Model'!H24</x:f>
        <x:v>1</x:v>
      </x:c>
      <x:c r="C11" s="182" t="n">
        <x:f>'Scenario Model'!H22</x:f>
        <x:v>996.8131</x:v>
      </x:c>
      <x:c r="D11" s="182" t="n">
        <x:f>'Scenario Model'!H28</x:f>
        <x:v>3900</x:v>
      </x:c>
      <x:c r="E11" s="182" t="n">
        <x:f>'Scenario Model'!H29</x:f>
        <x:v>4896.8131</x:v>
      </x:c>
      <x:c r="F11" s="182" t="n">
        <x:f>'Scenario Model'!H30</x:f>
        <x:v>4896.8131</x:v>
      </x:c>
      <x:c r="G11" s="182" t="n">
        <x:f>'Scenario Model'!H31</x:f>
        <x:v>58761.75720000001</x:v>
      </x:c>
      <x:c r="H11" s="166"/>
      <x:c r="I11" s="166" t="str">
        <x:f>A11&amp;" / "&amp;B11&amp;" clients"</x:f>
        <x:v>Advanced AI workloads / 1 clients</x:v>
      </x:c>
      <x:c r="J11" s="173" t="n">
        <x:f>C11</x:f>
        <x:v>996.8131</x:v>
      </x:c>
      <x:c r="K11" s="173" t="n">
        <x:f>D11</x:f>
        <x:v>3900</x:v>
      </x:c>
      <x:c r="L11" s="166"/>
      <x:c r="M11" s="166"/>
      <x:c r="N11" s="166"/>
      <x:c r="O11" s="166"/>
      <x:c r="P11" s="166"/>
    </x:row>
    <x:row r="12" ht="15" hidden="0" customHeight="1">
      <x:c r="A12" s="180" t="str">
        <x:v>Advanced AI workloads</x:v>
      </x:c>
      <x:c r="B12" s="181" t="n">
        <x:f>'Scenario Model'!I24</x:f>
        <x:v>5</x:v>
      </x:c>
      <x:c r="C12" s="182" t="n">
        <x:f>'Scenario Model'!I22</x:f>
        <x:v>1548.6828999999998</x:v>
      </x:c>
      <x:c r="D12" s="182" t="n">
        <x:f>'Scenario Model'!I28</x:f>
        <x:v>5100</x:v>
      </x:c>
      <x:c r="E12" s="182" t="n">
        <x:f>'Scenario Model'!I29</x:f>
        <x:v>6648.6829</x:v>
      </x:c>
      <x:c r="F12" s="182" t="n">
        <x:f>'Scenario Model'!I30</x:f>
        <x:v>1329.73658</x:v>
      </x:c>
      <x:c r="G12" s="182" t="n">
        <x:f>'Scenario Model'!I31</x:f>
        <x:v>79784.1948</x:v>
      </x:c>
      <x:c r="H12" s="166"/>
      <x:c r="I12" s="166" t="str">
        <x:f>A12&amp;" / "&amp;B12&amp;" clients"</x:f>
        <x:v>Advanced AI workloads / 5 clients</x:v>
      </x:c>
      <x:c r="J12" s="173" t="n">
        <x:f>C12</x:f>
        <x:v>1548.6828999999998</x:v>
      </x:c>
      <x:c r="K12" s="173" t="n">
        <x:f>D12</x:f>
        <x:v>5100</x:v>
      </x:c>
      <x:c r="L12" s="166"/>
      <x:c r="M12" s="166"/>
      <x:c r="N12" s="166"/>
      <x:c r="O12" s="166"/>
      <x:c r="P12" s="166"/>
    </x:row>
    <x:row r="13" ht="15" hidden="0" customHeight="1">
      <x:c r="A13" s="183" t="str">
        <x:v>Advanced AI workloads</x:v>
      </x:c>
      <x:c r="B13" s="184" t="n">
        <x:f>'Scenario Model'!J24</x:f>
        <x:v>15</x:v>
      </x:c>
      <x:c r="C13" s="185" t="n">
        <x:f>'Scenario Model'!J22</x:f>
        <x:v>3782.1528</x:v>
      </x:c>
      <x:c r="D13" s="185" t="n">
        <x:f>'Scenario Model'!J28</x:f>
        <x:v>8100</x:v>
      </x:c>
      <x:c r="E13" s="185" t="n">
        <x:f>'Scenario Model'!J29</x:f>
        <x:v>11882.1528</x:v>
      </x:c>
      <x:c r="F13" s="185" t="n">
        <x:f>'Scenario Model'!J30</x:f>
        <x:v>792.14352</x:v>
      </x:c>
      <x:c r="G13" s="185" t="n">
        <x:f>'Scenario Model'!J31</x:f>
        <x:v>142585.8336</x:v>
      </x:c>
      <x:c r="H13" s="166"/>
      <x:c r="I13" s="166" t="str">
        <x:f>A13&amp;" / "&amp;B13&amp;" clients"</x:f>
        <x:v>Advanced AI workloads / 15 clients</x:v>
      </x:c>
      <x:c r="J13" s="173" t="n">
        <x:f>C13</x:f>
        <x:v>3782.1528</x:v>
      </x:c>
      <x:c r="K13" s="173" t="n">
        <x:f>D13</x:f>
        <x:v>8100</x:v>
      </x:c>
      <x:c r="L13" s="166"/>
      <x:c r="M13" s="166"/>
      <x:c r="N13" s="166"/>
      <x:c r="O13" s="166"/>
      <x:c r="P13" s="166"/>
    </x:row>
    <x:row r="14" ht="15" hidden="0" customHeight="1">
      <x:c r="A14" s="166"/>
      <x:c r="B14" s="166"/>
      <x:c r="C14" s="166"/>
      <x:c r="D14" s="166"/>
      <x:c r="E14" s="166"/>
      <x:c r="F14" s="166"/>
      <x:c r="G14" s="166"/>
      <x:c r="H14" s="166"/>
      <x:c r="I14" s="166"/>
      <x:c r="J14" s="166"/>
      <x:c r="K14" s="166"/>
      <x:c r="L14" s="166"/>
      <x:c r="M14" s="166"/>
      <x:c r="N14" s="166"/>
      <x:c r="O14" s="166"/>
      <x:c r="P14" s="166"/>
    </x:row>
    <x:row r="15" ht="15" hidden="0" customHeight="1">
      <x:c r="A15" s="166"/>
      <x:c r="B15" s="166"/>
      <x:c r="C15" s="166"/>
      <x:c r="D15" s="166"/>
      <x:c r="E15" s="166"/>
      <x:c r="F15" s="166"/>
      <x:c r="G15" s="166"/>
      <x:c r="H15" s="166"/>
      <x:c r="I15" s="166"/>
      <x:c r="J15" s="166"/>
      <x:c r="K15" s="166"/>
      <x:c r="L15" s="166"/>
      <x:c r="M15" s="166"/>
      <x:c r="N15" s="166"/>
      <x:c r="O15" s="166"/>
      <x:c r="P15" s="166"/>
    </x:row>
    <x:row r="16" ht="24" hidden="0" customHeight="1">
      <x:c r="A16" s="167" t="str">
        <x:v>Decision</x:v>
      </x:c>
      <x:c r="B16" s="168" t="str">
        <x:v>What is viable now</x:v>
      </x:c>
      <x:c r="C16" s="168" t="str">
        <x:v>What requires evidence</x:v>
      </x:c>
      <x:c r="D16" s="168" t="str">
        <x:v>Self-service boundary</x:v>
      </x:c>
      <x:c r="E16" s="168" t="str">
        <x:v>Build midpoint</x:v>
      </x:c>
      <x:c r="F16" s="168" t="str">
        <x:v>Working gate</x:v>
      </x:c>
      <x:c r="G16" s="169" t="str">
        <x:v>Capital fit</x:v>
      </x:c>
      <x:c r="H16" s="166"/>
      <x:c r="I16" s="166"/>
      <x:c r="J16" s="166"/>
      <x:c r="K16" s="166"/>
      <x:c r="L16" s="166"/>
      <x:c r="M16" s="166"/>
      <x:c r="N16" s="166"/>
      <x:c r="O16" s="166"/>
      <x:c r="P16" s="166"/>
    </x:row>
    <x:row r="17" ht="72" hidden="0" customHeight="1">
      <x:c r="A17" s="186" t="str">
        <x:v>Core managed AI SaaS</x:v>
      </x:c>
      <x:c r="B17" s="186" t="str">
        <x:v>Client support, access/user administration, onboarding, training, adoption, spend and renewals</x:v>
      </x:c>
      <x:c r="C17" s="186" t="str">
        <x:v>Native admin/export coverage, billing rail and MSP support seam</x:v>
      </x:c>
      <x:c r="D17" s="186" t="str">
        <x:v>Freshdesk portal plus structured access/training requests</x:v>
      </x:c>
      <x:c r="E17" s="186" t="str">
        <x:v>$8,000</x:v>
      </x:c>
      <x:c r="F17" s="186" t="str">
        <x:v>Launch offer for first clients</x:v>
      </x:c>
      <x:c r="G17" s="186" t="str">
        <x:v>Inside ceiling</x:v>
      </x:c>
      <x:c r="H17" s="166"/>
      <x:c r="I17" s="166"/>
      <x:c r="J17" s="166"/>
      <x:c r="K17" s="166"/>
      <x:c r="L17" s="166"/>
      <x:c r="M17" s="166"/>
      <x:c r="N17" s="166"/>
      <x:c r="O17" s="166"/>
      <x:c r="P17" s="166"/>
    </x:row>
    <x:row r="18" ht="48" hidden="0" customHeight="1">
      <x:c r="A18" s="187" t="str">
        <x:v>Hybrid SaaS platform</x:v>
      </x:c>
      <x:c r="B18" s="187" t="str">
        <x:v>Normalized portfolio, approvals, verified SaaS writes and branded portal</x:v>
      </x:c>
      <x:c r="C18" s="187" t="str">
        <x:v>Repeated schema, stable admin APIs and paid demand</x:v>
      </x:c>
      <x:c r="D18" s="187" t="str">
        <x:v>Read/request/approve plus selected reversible actions</x:v>
      </x:c>
      <x:c r="E18" s="187" t="str">
        <x:v>$44,000</x:v>
      </x:c>
      <x:c r="F18" s="187" t="str">
        <x:v>3–8 clients or funded MSP pilot</x:v>
      </x:c>
      <x:c r="G18" s="187" t="str">
        <x:v>Tight but possible</x:v>
      </x:c>
      <x:c r="H18" s="166"/>
      <x:c r="I18" s="166"/>
      <x:c r="J18" s="166"/>
      <x:c r="K18" s="166"/>
      <x:c r="L18" s="166"/>
      <x:c r="M18" s="166"/>
      <x:c r="N18" s="166"/>
      <x:c r="O18" s="166"/>
      <x:c r="P18" s="166"/>
    </x:row>
    <x:row r="19" ht="48" hidden="0" customHeight="1">
      <x:c r="A19" s="188" t="str">
        <x:v>Advanced AI workloads</x:v>
      </x:c>
      <x:c r="B19" s="188" t="str">
        <x:v>Hosted/data/custom AI operations and application/model observability</x:v>
      </x:c>
      <x:c r="C19" s="188" t="str">
        <x:v>Workload architecture, data/security scope and connector economics</x:v>
      </x:c>
      <x:c r="D19" s="188" t="str">
        <x:v>Workload-specific; never assumed in core</x:v>
      </x:c>
      <x:c r="E19" s="188" t="str">
        <x:v>$132,500</x:v>
      </x:c>
      <x:c r="F19" s="188" t="str">
        <x:v>Separately scoped project or anchor funding</x:v>
      </x:c>
      <x:c r="G19" s="188" t="str">
        <x:v>Outside ceiling</x:v>
      </x:c>
      <x:c r="H19" s="166"/>
      <x:c r="I19" s="166"/>
      <x:c r="J19" s="166"/>
      <x:c r="K19" s="166"/>
      <x:c r="L19" s="166"/>
      <x:c r="M19" s="166"/>
      <x:c r="N19" s="166"/>
      <x:c r="O19" s="166"/>
      <x:c r="P19" s="166"/>
    </x:row>
    <x:row r="20" ht="15" hidden="0" customHeight="1">
      <x:c r="A20" s="166"/>
      <x:c r="B20" s="166"/>
      <x:c r="C20" s="166"/>
      <x:c r="D20" s="166"/>
      <x:c r="E20" s="166"/>
      <x:c r="F20" s="166"/>
      <x:c r="G20" s="166"/>
      <x:c r="H20" s="166"/>
      <x:c r="I20" s="166"/>
      <x:c r="J20" s="166"/>
      <x:c r="K20" s="166"/>
      <x:c r="L20" s="166"/>
      <x:c r="M20" s="166"/>
      <x:c r="N20" s="166"/>
      <x:c r="O20" s="166"/>
      <x:c r="P20" s="166"/>
    </x:row>
    <x:row r="21" ht="15" hidden="0" customHeight="1">
      <x:c r="A21" s="166"/>
      <x:c r="B21" s="166"/>
      <x:c r="C21" s="166"/>
      <x:c r="D21" s="166"/>
      <x:c r="E21" s="166"/>
      <x:c r="F21" s="166"/>
      <x:c r="G21" s="166"/>
      <x:c r="H21" s="166"/>
      <x:c r="I21" s="166"/>
      <x:c r="J21" s="166"/>
      <x:c r="K21" s="166"/>
      <x:c r="L21" s="166"/>
      <x:c r="M21" s="166"/>
      <x:c r="N21" s="166"/>
      <x:c r="O21" s="166"/>
      <x:c r="P21" s="166"/>
    </x:row>
    <x:row r="22" ht="15" hidden="0" customHeight="1">
      <x:c r="A22" s="189" t="str">
        <x:v>Interpretation</x:v>
      </x:c>
      <x:c r="B22" s="190" t="str"/>
      <x:c r="C22" s="190" t="str"/>
      <x:c r="D22" s="190" t="str"/>
      <x:c r="E22" s="190" t="str"/>
      <x:c r="F22" s="190" t="str"/>
      <x:c r="G22" s="191" t="str"/>
      <x:c r="H22" s="166"/>
      <x:c r="I22" s="166"/>
      <x:c r="J22" s="166"/>
      <x:c r="K22" s="166"/>
      <x:c r="L22" s="166"/>
      <x:c r="M22" s="166"/>
      <x:c r="N22" s="166"/>
      <x:c r="O22" s="166"/>
      <x:c r="P22" s="166"/>
    </x:row>
    <x:row r="23" ht="24" hidden="0" customHeight="1">
      <x:c r="A23" s="192" t="str">
        <x:v>1</x:v>
      </x:c>
      <x:c r="B23" s="192" t="str">
        <x:v>An agent interface is viable as a policy-controlled control surface over authoritative systems. It should not become the authoritative database or hold raw credentials.</x:v>
      </x:c>
      <x:c r="C23" s="192" t="str"/>
      <x:c r="D23" s="192" t="str"/>
      <x:c r="E23" s="192" t="str"/>
      <x:c r="F23" s="192" t="str"/>
      <x:c r="G23" s="192" t="str"/>
      <x:c r="H23" s="166"/>
      <x:c r="I23" s="166"/>
      <x:c r="J23" s="166"/>
      <x:c r="K23" s="166"/>
      <x:c r="L23" s="166"/>
      <x:c r="M23" s="166"/>
      <x:c r="N23" s="166"/>
      <x:c r="O23" s="166"/>
      <x:c r="P23" s="166"/>
    </x:row>
    <x:row r="24" ht="24" hidden="0" customHeight="1">
      <x:c r="A24" s="193" t="str">
        <x:v>2</x:v>
      </x:c>
      <x:c r="B24" s="193" t="str">
        <x:v>Client self-service is viable first for read, request, approve and status. Direct execution is viable only for tested, reversible, idempotent actions with post-action verification.</x:v>
      </x:c>
      <x:c r="C24" s="193" t="str"/>
      <x:c r="D24" s="193" t="str"/>
      <x:c r="E24" s="193" t="str"/>
      <x:c r="F24" s="193" t="str"/>
      <x:c r="G24" s="193" t="str"/>
      <x:c r="H24" s="166"/>
      <x:c r="I24" s="166"/>
      <x:c r="J24" s="166"/>
      <x:c r="K24" s="166"/>
      <x:c r="L24" s="166"/>
      <x:c r="M24" s="166"/>
      <x:c r="N24" s="166"/>
      <x:c r="O24" s="166"/>
      <x:c r="P24" s="166"/>
    </x:row>
    <x:row r="25" ht="24" hidden="0" customHeight="1">
      <x:c r="A25" s="193" t="str">
        <x:v>3</x:v>
      </x:c>
      <x:c r="B25" s="193" t="str">
        <x:v>Native vendor admin analytics, usage reports and invoices are authoritative for packaged AI SaaS cost. Langfuse, Sentry and Datadog are not the base cost ledger.</x:v>
      </x:c>
      <x:c r="C25" s="193" t="str"/>
      <x:c r="D25" s="193" t="str"/>
      <x:c r="E25" s="193" t="str"/>
      <x:c r="F25" s="193" t="str"/>
      <x:c r="G25" s="193" t="str"/>
      <x:c r="H25" s="166"/>
      <x:c r="I25" s="166"/>
      <x:c r="J25" s="166"/>
      <x:c r="K25" s="166"/>
      <x:c r="L25" s="166"/>
      <x:c r="M25" s="166"/>
      <x:c r="N25" s="166"/>
      <x:c r="O25" s="166"/>
      <x:c r="P25" s="166"/>
    </x:row>
    <x:row r="26" ht="24" hidden="0" customHeight="1">
      <x:c r="A26" s="194" t="str">
        <x:v>4</x:v>
      </x:c>
      <x:c r="B26" s="194" t="str">
        <x:v>Langfuse and application monitoring enter when Dirtyworks operates an instrumented agent, integration or hosted AI workload; advanced work remains separately scoped.</x:v>
      </x:c>
      <x:c r="C26" s="194" t="str"/>
      <x:c r="D26" s="194" t="str"/>
      <x:c r="E26" s="194" t="str"/>
      <x:c r="F26" s="194" t="str"/>
      <x:c r="G26" s="194" t="str"/>
      <x:c r="H26" s="166"/>
      <x:c r="I26" s="166"/>
      <x:c r="J26" s="166"/>
      <x:c r="K26" s="166"/>
      <x:c r="L26" s="166"/>
      <x:c r="M26" s="166"/>
      <x:c r="N26" s="166"/>
      <x:c r="O26" s="166"/>
      <x:c r="P26" s="166"/>
    </x:row>
  </x:sheetData>
  <x:mergeCells>
    <x:mergeCell ref="A1:P1"/>
    <x:mergeCell ref="A2:P2"/>
    <x:mergeCell ref="A22:G22"/>
    <x:mergeCell ref="B23:G23"/>
    <x:mergeCell ref="B24:G24"/>
    <x:mergeCell ref="B25:G25"/>
    <x:mergeCell ref="B26:G26"/>
  </x:mergeCells>
  <x:pageMargins left="0.7" right="0.7" top="0.75" bottom="0.75" header="0.3" footer="0.3"/>
  <x:drawing xmlns:r="http://schemas.openxmlformats.org/officeDocument/2006/relationships" r:id="Red53a040289c4ab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15" hidden="0" customHeight="1">
      <x:c r="A1" s="250" t="str">
        <x:v>Agent Operations Platform — Assumptions</x:v>
      </x:c>
      <x:c r="B1" s="250" t="str">
        <x:v>Agent Operations Platform — Assumptions</x:v>
      </x:c>
      <x:c r="C1" s="250" t="str">
        <x:v>Agent Operations Platform — Assumptions</x:v>
      </x:c>
      <x:c r="D1" s="250" t="str">
        <x:v>Agent Operations Platform — Assumptions</x:v>
      </x:c>
      <x:c r="E1" s="250" t="str">
        <x:v>Agent Operations Platform — Assumptions</x:v>
      </x:c>
      <x:c r="F1" s="250" t="str">
        <x:v>Agent Operations Platform — Assumptions</x:v>
      </x:c>
      <x:c r="G1" s="250" t="str">
        <x:v>Agent Operations Platform — Assumptions</x:v>
      </x:c>
      <x:c r="H1" s="250" t="str">
        <x:v>Agent Operations Platform — Assumptions</x:v>
      </x:c>
      <x:c r="I1" s="250" t="str">
        <x:v>Agent Operations Platform — Assumptions</x:v>
      </x:c>
      <x:c r="J1" s="250" t="str">
        <x:v>Agent Operations Platform — Assumptions</x:v>
      </x:c>
    </x:row>
    <x:row r="2" ht="15" hidden="0" customHeight="1">
      <x:c r="A2" s="165" t="str">
        <x:v>Blue cells are editable. Currency is CAD unless the source platform bills in USD or EUR. Prices are public list prices, excluding tax and negotiated discounts.</x:v>
      </x:c>
      <x:c r="B2" s="165" t="str">
        <x:v>Blue cells are editable. Currency is CAD unless the source platform bills in USD or EUR. Prices are public list prices, excluding tax and negotiated discounts.</x:v>
      </x:c>
      <x:c r="C2" s="165" t="str">
        <x:v>Blue cells are editable. Currency is CAD unless the source platform bills in USD or EUR. Prices are public list prices, excluding tax and negotiated discounts.</x:v>
      </x:c>
      <x:c r="D2" s="165" t="str">
        <x:v>Blue cells are editable. Currency is CAD unless the source platform bills in USD or EUR. Prices are public list prices, excluding tax and negotiated discounts.</x:v>
      </x:c>
      <x:c r="E2" s="165" t="str">
        <x:v>Blue cells are editable. Currency is CAD unless the source platform bills in USD or EUR. Prices are public list prices, excluding tax and negotiated discounts.</x:v>
      </x:c>
      <x:c r="F2" s="165" t="str">
        <x:v>Blue cells are editable. Currency is CAD unless the source platform bills in USD or EUR. Prices are public list prices, excluding tax and negotiated discounts.</x:v>
      </x:c>
      <x:c r="G2" s="165" t="str">
        <x:v>Blue cells are editable. Currency is CAD unless the source platform bills in USD or EUR. Prices are public list prices, excluding tax and negotiated discounts.</x:v>
      </x:c>
      <x:c r="H2" s="165" t="str">
        <x:v>Blue cells are editable. Currency is CAD unless the source platform bills in USD or EUR. Prices are public list prices, excluding tax and negotiated discounts.</x:v>
      </x:c>
      <x:c r="I2" s="165" t="str">
        <x:v>Blue cells are editable. Currency is CAD unless the source platform bills in USD or EUR. Prices are public list prices, excluding tax and negotiated discounts.</x:v>
      </x:c>
      <x:c r="J2" s="165" t="str">
        <x:v>Blue cells are editable. Currency is CAD unless the source platform bills in USD or EUR. Prices are public list prices, excluding tax and negotiated discounts.</x:v>
      </x:c>
    </x:row>
    <x:row r="3" ht="15" hidden="0" customHeight="1">
      <x:c r="A3" s="166"/>
      <x:c r="B3" s="166"/>
      <x:c r="C3" s="166"/>
      <x:c r="D3" s="166"/>
      <x:c r="E3" s="166"/>
      <x:c r="F3" s="166"/>
      <x:c r="G3" s="166"/>
      <x:c r="H3" s="166"/>
      <x:c r="I3" s="166"/>
      <x:c r="J3" s="166"/>
    </x:row>
    <x:row r="4" ht="15" hidden="0" customHeight="1">
      <x:c r="A4" s="189" t="str">
        <x:v>Global inputs</x:v>
      </x:c>
      <x:c r="B4" s="191" t="str">
        <x:v>Global inputs</x:v>
      </x:c>
      <x:c r="C4" s="166"/>
      <x:c r="D4" s="166"/>
      <x:c r="E4" s="166"/>
      <x:c r="F4" s="166"/>
      <x:c r="G4" s="166"/>
      <x:c r="H4" s="166"/>
      <x:c r="I4" s="166"/>
      <x:c r="J4" s="166"/>
    </x:row>
    <x:row r="5" ht="15" hidden="0" customHeight="1">
      <x:c r="A5" s="167" t="str">
        <x:v>Input</x:v>
      </x:c>
      <x:c r="B5" s="169" t="str">
        <x:v>Value</x:v>
      </x:c>
      <x:c r="C5" s="166"/>
      <x:c r="D5" s="166"/>
      <x:c r="E5" s="166"/>
      <x:c r="F5" s="166"/>
      <x:c r="G5" s="166"/>
      <x:c r="H5" s="166"/>
      <x:c r="I5" s="166"/>
      <x:c r="J5" s="166"/>
    </x:row>
    <x:row r="6" ht="15" hidden="0" customHeight="1">
      <x:c r="A6" s="195" t="str">
        <x:v>USD → CAD</x:v>
      </x:c>
      <x:c r="B6" s="196" t="n">
        <x:v>1.3839</x:v>
      </x:c>
      <x:c r="C6" s="166"/>
      <x:c r="D6" s="166"/>
      <x:c r="E6" s="166"/>
      <x:c r="F6" s="166"/>
      <x:c r="G6" s="166"/>
      <x:c r="H6" s="166"/>
      <x:c r="I6" s="166"/>
      <x:c r="J6" s="166"/>
    </x:row>
    <x:row r="7" ht="15" hidden="0" customHeight="1">
      <x:c r="A7" s="197" t="str">
        <x:v>EUR → CAD</x:v>
      </x:c>
      <x:c r="B7" s="198" t="n">
        <x:v>1.6151</x:v>
      </x:c>
      <x:c r="C7" s="166"/>
      <x:c r="D7" s="166"/>
      <x:c r="E7" s="166"/>
      <x:c r="F7" s="166"/>
      <x:c r="G7" s="166"/>
      <x:c r="H7" s="166"/>
      <x:c r="I7" s="166"/>
      <x:c r="J7" s="166"/>
    </x:row>
    <x:row r="8" ht="15" hidden="0" customHeight="1">
      <x:c r="A8" s="197" t="str">
        <x:v>CAD → CAD</x:v>
      </x:c>
      <x:c r="B8" s="198" t="n">
        <x:v>1</x:v>
      </x:c>
      <x:c r="C8" s="166"/>
      <x:c r="D8" s="166"/>
      <x:c r="E8" s="166"/>
      <x:c r="F8" s="166"/>
      <x:c r="G8" s="166"/>
      <x:c r="H8" s="166"/>
      <x:c r="I8" s="166"/>
      <x:c r="J8" s="166"/>
    </x:row>
    <x:row r="9" ht="15" hidden="0" customHeight="1">
      <x:c r="A9" s="197" t="str">
        <x:v>Normalized operator / engineering rate (CAD/hour)</x:v>
      </x:c>
      <x:c r="B9" s="199" t="n">
        <x:v>150</x:v>
      </x:c>
      <x:c r="C9" s="166"/>
      <x:c r="D9" s="166"/>
      <x:c r="E9" s="166"/>
      <x:c r="F9" s="166"/>
      <x:c r="G9" s="166"/>
      <x:c r="H9" s="166"/>
      <x:c r="I9" s="166"/>
      <x:c r="J9" s="166"/>
    </x:row>
    <x:row r="10" ht="15" hidden="0" customHeight="1">
      <x:c r="A10" s="200" t="str">
        <x:v>Current experiment capital ceiling (CAD)</x:v>
      </x:c>
      <x:c r="B10" s="201" t="n">
        <x:v>50000</x:v>
      </x:c>
      <x:c r="C10" s="166"/>
      <x:c r="D10" s="166"/>
      <x:c r="E10" s="166"/>
      <x:c r="F10" s="166"/>
      <x:c r="G10" s="166"/>
      <x:c r="H10" s="166"/>
      <x:c r="I10" s="166"/>
      <x:c r="J10" s="166"/>
    </x:row>
    <x:row r="11" ht="15" hidden="0" customHeight="1">
      <x:c r="A11" s="166"/>
      <x:c r="B11" s="166"/>
      <x:c r="C11" s="166"/>
      <x:c r="D11" s="166"/>
      <x:c r="E11" s="166"/>
      <x:c r="F11" s="166"/>
      <x:c r="G11" s="166"/>
      <x:c r="H11" s="166"/>
      <x:c r="I11" s="166"/>
      <x:c r="J11" s="166"/>
    </x:row>
    <x:row r="12" ht="15" hidden="0" customHeight="1">
      <x:c r="A12" s="167" t="str">
        <x:v>Case</x:v>
      </x:c>
      <x:c r="B12" s="168" t="str">
        <x:v>Core SaaS / 1</x:v>
      </x:c>
      <x:c r="C12" s="168" t="str">
        <x:v>Core SaaS / 5</x:v>
      </x:c>
      <x:c r="D12" s="168" t="str">
        <x:v>Core SaaS / 15</x:v>
      </x:c>
      <x:c r="E12" s="168" t="str">
        <x:v>Hybrid / 1</x:v>
      </x:c>
      <x:c r="F12" s="168" t="str">
        <x:v>Hybrid / 5</x:v>
      </x:c>
      <x:c r="G12" s="168" t="str">
        <x:v>Hybrid / 15</x:v>
      </x:c>
      <x:c r="H12" s="168" t="str">
        <x:v>Advanced / 1</x:v>
      </x:c>
      <x:c r="I12" s="168" t="str">
        <x:v>Advanced / 5</x:v>
      </x:c>
      <x:c r="J12" s="169" t="str">
        <x:v>Advanced / 15</x:v>
      </x:c>
    </x:row>
    <x:row r="13" ht="15" hidden="0" customHeight="1">
      <x:c r="A13" s="166" t="str">
        <x:v>Active clients</x:v>
      </x:c>
      <x:c r="B13" s="202" t="n">
        <x:v>1</x:v>
      </x:c>
      <x:c r="C13" s="203" t="n">
        <x:v>5</x:v>
      </x:c>
      <x:c r="D13" s="203" t="n">
        <x:v>15</x:v>
      </x:c>
      <x:c r="E13" s="203" t="n">
        <x:v>1</x:v>
      </x:c>
      <x:c r="F13" s="203" t="n">
        <x:v>5</x:v>
      </x:c>
      <x:c r="G13" s="203" t="n">
        <x:v>15</x:v>
      </x:c>
      <x:c r="H13" s="203" t="n">
        <x:v>1</x:v>
      </x:c>
      <x:c r="I13" s="203" t="n">
        <x:v>5</x:v>
      </x:c>
      <x:c r="J13" s="204" t="n">
        <x:v>15</x:v>
      </x:c>
    </x:row>
    <x:row r="14" ht="15" hidden="0" customHeight="1">
      <x:c r="A14" s="166"/>
      <x:c r="B14" s="166"/>
      <x:c r="C14" s="166"/>
      <x:c r="D14" s="166"/>
      <x:c r="E14" s="166"/>
      <x:c r="F14" s="166"/>
      <x:c r="G14" s="166"/>
      <x:c r="H14" s="166"/>
      <x:c r="I14" s="166"/>
      <x:c r="J14" s="166"/>
    </x:row>
    <x:row r="15" ht="15" hidden="0" customHeight="1">
      <x:c r="A15" s="189" t="str">
        <x:v>Monthly platform quantities and AI-agent usage allowance</x:v>
      </x:c>
      <x:c r="B15" s="190" t="str">
        <x:v>Monthly platform quantities and AI-agent usage allowance</x:v>
      </x:c>
      <x:c r="C15" s="190" t="str">
        <x:v>Monthly platform quantities and AI-agent usage allowance</x:v>
      </x:c>
      <x:c r="D15" s="190" t="str">
        <x:v>Monthly platform quantities and AI-agent usage allowance</x:v>
      </x:c>
      <x:c r="E15" s="190" t="str">
        <x:v>Monthly platform quantities and AI-agent usage allowance</x:v>
      </x:c>
      <x:c r="F15" s="190" t="str">
        <x:v>Monthly platform quantities and AI-agent usage allowance</x:v>
      </x:c>
      <x:c r="G15" s="190" t="str">
        <x:v>Monthly platform quantities and AI-agent usage allowance</x:v>
      </x:c>
      <x:c r="H15" s="190" t="str">
        <x:v>Monthly platform quantities and AI-agent usage allowance</x:v>
      </x:c>
      <x:c r="I15" s="190" t="str">
        <x:v>Monthly platform quantities and AI-agent usage allowance</x:v>
      </x:c>
      <x:c r="J15" s="191" t="str">
        <x:v>Monthly platform quantities and AI-agent usage allowance</x:v>
      </x:c>
    </x:row>
    <x:row r="16" ht="15" hidden="0" customHeight="1">
      <x:c r="A16" s="167" t="str">
        <x:v>Component</x:v>
      </x:c>
      <x:c r="B16" s="168" t="str">
        <x:v>Core SaaS / 1</x:v>
      </x:c>
      <x:c r="C16" s="168" t="str">
        <x:v>Core SaaS / 5</x:v>
      </x:c>
      <x:c r="D16" s="168" t="str">
        <x:v>Core SaaS / 15</x:v>
      </x:c>
      <x:c r="E16" s="168" t="str">
        <x:v>Hybrid / 1</x:v>
      </x:c>
      <x:c r="F16" s="168" t="str">
        <x:v>Hybrid / 5</x:v>
      </x:c>
      <x:c r="G16" s="168" t="str">
        <x:v>Hybrid / 15</x:v>
      </x:c>
      <x:c r="H16" s="168" t="str">
        <x:v>Advanced / 1</x:v>
      </x:c>
      <x:c r="I16" s="168" t="str">
        <x:v>Advanced / 5</x:v>
      </x:c>
      <x:c r="J16" s="169" t="str">
        <x:v>Advanced / 15</x:v>
      </x:c>
    </x:row>
    <x:row r="17" ht="15" hidden="0" customHeight="1">
      <x:c r="A17" s="195" t="str">
        <x:v>Freshdesk Growth</x:v>
      </x:c>
      <x:c r="B17" s="205" t="n">
        <x:v>1</x:v>
      </x:c>
      <x:c r="C17" s="206" t="n">
        <x:v>2</x:v>
      </x:c>
      <x:c r="D17" s="206" t="n">
        <x:v>4</x:v>
      </x:c>
      <x:c r="E17" s="206" t="n">
        <x:v>0</x:v>
      </x:c>
      <x:c r="F17" s="206" t="n">
        <x:v>0</x:v>
      </x:c>
      <x:c r="G17" s="206" t="n">
        <x:v>0</x:v>
      </x:c>
      <x:c r="H17" s="206" t="n">
        <x:v>0</x:v>
      </x:c>
      <x:c r="I17" s="206" t="n">
        <x:v>0</x:v>
      </x:c>
      <x:c r="J17" s="206" t="n">
        <x:v>0</x:v>
      </x:c>
    </x:row>
    <x:row r="18" ht="15" hidden="0" customHeight="1">
      <x:c r="A18" s="197" t="str">
        <x:v>Freshdesk Pro</x:v>
      </x:c>
      <x:c r="B18" s="207" t="n">
        <x:v>0</x:v>
      </x:c>
      <x:c r="C18" s="208" t="n">
        <x:v>0</x:v>
      </x:c>
      <x:c r="D18" s="208" t="n">
        <x:v>0</x:v>
      </x:c>
      <x:c r="E18" s="208" t="n">
        <x:v>1</x:v>
      </x:c>
      <x:c r="F18" s="208" t="n">
        <x:v>2</x:v>
      </x:c>
      <x:c r="G18" s="208" t="n">
        <x:v>4</x:v>
      </x:c>
      <x:c r="H18" s="208" t="n">
        <x:v>1</x:v>
      </x:c>
      <x:c r="I18" s="208" t="n">
        <x:v>2</x:v>
      </x:c>
      <x:c r="J18" s="208" t="n">
        <x:v>4</x:v>
      </x:c>
    </x:row>
    <x:row r="19" ht="15" hidden="0" customHeight="1">
      <x:c r="A19" s="197" t="str">
        <x:v>Hudu</x:v>
      </x:c>
      <x:c r="B19" s="207" t="n">
        <x:v>1</x:v>
      </x:c>
      <x:c r="C19" s="208" t="n">
        <x:v>2</x:v>
      </x:c>
      <x:c r="D19" s="208" t="n">
        <x:v>4</x:v>
      </x:c>
      <x:c r="E19" s="208" t="n">
        <x:v>1</x:v>
      </x:c>
      <x:c r="F19" s="208" t="n">
        <x:v>2</x:v>
      </x:c>
      <x:c r="G19" s="208" t="n">
        <x:v>4</x:v>
      </x:c>
      <x:c r="H19" s="208" t="n">
        <x:v>2</x:v>
      </x:c>
      <x:c r="I19" s="208" t="n">
        <x:v>3</x:v>
      </x:c>
      <x:c r="J19" s="208" t="n">
        <x:v>5</x:v>
      </x:c>
    </x:row>
    <x:row r="20" ht="15" hidden="0" customHeight="1">
      <x:c r="A20" s="197" t="str">
        <x:v>1Password Teams Starter</x:v>
      </x:c>
      <x:c r="B20" s="207" t="n">
        <x:v>1</x:v>
      </x:c>
      <x:c r="C20" s="208" t="n">
        <x:v>1</x:v>
      </x:c>
      <x:c r="D20" s="208" t="n">
        <x:v>1</x:v>
      </x:c>
      <x:c r="E20" s="208" t="n">
        <x:v>1</x:v>
      </x:c>
      <x:c r="F20" s="208" t="n">
        <x:v>1</x:v>
      </x:c>
      <x:c r="G20" s="208" t="n">
        <x:v>1</x:v>
      </x:c>
      <x:c r="H20" s="208" t="n">
        <x:v>1</x:v>
      </x:c>
      <x:c r="I20" s="208" t="n">
        <x:v>1</x:v>
      </x:c>
      <x:c r="J20" s="208" t="n">
        <x:v>1</x:v>
      </x:c>
    </x:row>
    <x:row r="21" ht="15" hidden="0" customHeight="1">
      <x:c r="A21" s="197" t="str">
        <x:v>n8n Starter</x:v>
      </x:c>
      <x:c r="B21" s="207" t="n">
        <x:v>1</x:v>
      </x:c>
      <x:c r="C21" s="208" t="n">
        <x:v>0</x:v>
      </x:c>
      <x:c r="D21" s="208" t="n">
        <x:v>0</x:v>
      </x:c>
      <x:c r="E21" s="208" t="n">
        <x:v>0</x:v>
      </x:c>
      <x:c r="F21" s="208" t="n">
        <x:v>0</x:v>
      </x:c>
      <x:c r="G21" s="208" t="n">
        <x:v>0</x:v>
      </x:c>
      <x:c r="H21" s="208" t="n">
        <x:v>0</x:v>
      </x:c>
      <x:c r="I21" s="208" t="n">
        <x:v>0</x:v>
      </x:c>
      <x:c r="J21" s="208" t="n">
        <x:v>0</x:v>
      </x:c>
    </x:row>
    <x:row r="22" ht="15" hidden="0" customHeight="1">
      <x:c r="A22" s="197" t="str">
        <x:v>n8n Pro</x:v>
      </x:c>
      <x:c r="B22" s="207" t="n">
        <x:v>0</x:v>
      </x:c>
      <x:c r="C22" s="208" t="n">
        <x:v>1</x:v>
      </x:c>
      <x:c r="D22" s="208" t="n">
        <x:v>1</x:v>
      </x:c>
      <x:c r="E22" s="208" t="n">
        <x:v>1</x:v>
      </x:c>
      <x:c r="F22" s="208" t="n">
        <x:v>1</x:v>
      </x:c>
      <x:c r="G22" s="208" t="n">
        <x:v>1</x:v>
      </x:c>
      <x:c r="H22" s="208" t="n">
        <x:v>1</x:v>
      </x:c>
      <x:c r="I22" s="208" t="n">
        <x:v>1</x:v>
      </x:c>
      <x:c r="J22" s="208" t="n">
        <x:v>0</x:v>
      </x:c>
    </x:row>
    <x:row r="23" ht="15" hidden="0" customHeight="1">
      <x:c r="A23" s="197" t="str">
        <x:v>n8n Business</x:v>
      </x:c>
      <x:c r="B23" s="207" t="n">
        <x:v>0</x:v>
      </x:c>
      <x:c r="C23" s="208" t="n">
        <x:v>0</x:v>
      </x:c>
      <x:c r="D23" s="208" t="n">
        <x:v>0</x:v>
      </x:c>
      <x:c r="E23" s="208" t="n">
        <x:v>0</x:v>
      </x:c>
      <x:c r="F23" s="208" t="n">
        <x:v>0</x:v>
      </x:c>
      <x:c r="G23" s="208" t="n">
        <x:v>0</x:v>
      </x:c>
      <x:c r="H23" s="208" t="n">
        <x:v>0</x:v>
      </x:c>
      <x:c r="I23" s="208" t="n">
        <x:v>0</x:v>
      </x:c>
      <x:c r="J23" s="208" t="n">
        <x:v>1</x:v>
      </x:c>
    </x:row>
    <x:row r="24" ht="15" hidden="0" customHeight="1">
      <x:c r="A24" s="197" t="str">
        <x:v>Supabase Pro</x:v>
      </x:c>
      <x:c r="B24" s="207" t="n">
        <x:v>0</x:v>
      </x:c>
      <x:c r="C24" s="208" t="n">
        <x:v>0</x:v>
      </x:c>
      <x:c r="D24" s="208" t="n">
        <x:v>0</x:v>
      </x:c>
      <x:c r="E24" s="208" t="n">
        <x:v>1</x:v>
      </x:c>
      <x:c r="F24" s="208" t="n">
        <x:v>1</x:v>
      </x:c>
      <x:c r="G24" s="208" t="n">
        <x:v>1</x:v>
      </x:c>
      <x:c r="H24" s="208" t="n">
        <x:v>1</x:v>
      </x:c>
      <x:c r="I24" s="208" t="n">
        <x:v>1</x:v>
      </x:c>
      <x:c r="J24" s="208" t="n">
        <x:v>1</x:v>
      </x:c>
    </x:row>
    <x:row r="25" ht="15" hidden="0" customHeight="1">
      <x:c r="A25" s="197" t="str">
        <x:v>Supabase PITR</x:v>
      </x:c>
      <x:c r="B25" s="207" t="n">
        <x:v>0</x:v>
      </x:c>
      <x:c r="C25" s="208" t="n">
        <x:v>0</x:v>
      </x:c>
      <x:c r="D25" s="208" t="n">
        <x:v>0</x:v>
      </x:c>
      <x:c r="E25" s="208" t="n">
        <x:v>0</x:v>
      </x:c>
      <x:c r="F25" s="208" t="n">
        <x:v>0</x:v>
      </x:c>
      <x:c r="G25" s="208" t="n">
        <x:v>1</x:v>
      </x:c>
      <x:c r="H25" s="208" t="n">
        <x:v>0</x:v>
      </x:c>
      <x:c r="I25" s="208" t="n">
        <x:v>1</x:v>
      </x:c>
      <x:c r="J25" s="208" t="n">
        <x:v>1</x:v>
      </x:c>
    </x:row>
    <x:row r="26" ht="15" hidden="0" customHeight="1">
      <x:c r="A26" s="197" t="str">
        <x:v>Clerk Enhanced B2B</x:v>
      </x:c>
      <x:c r="B26" s="207" t="n">
        <x:v>0</x:v>
      </x:c>
      <x:c r="C26" s="208" t="n">
        <x:v>0</x:v>
      </x:c>
      <x:c r="D26" s="208" t="n">
        <x:v>0</x:v>
      </x:c>
      <x:c r="E26" s="208" t="n">
        <x:v>0</x:v>
      </x:c>
      <x:c r="F26" s="208" t="n">
        <x:v>1</x:v>
      </x:c>
      <x:c r="G26" s="208" t="n">
        <x:v>1</x:v>
      </x:c>
      <x:c r="H26" s="208" t="n">
        <x:v>1</x:v>
      </x:c>
      <x:c r="I26" s="208" t="n">
        <x:v>1</x:v>
      </x:c>
      <x:c r="J26" s="208" t="n">
        <x:v>1</x:v>
      </x:c>
    </x:row>
    <x:row r="27" ht="15" hidden="0" customHeight="1">
      <x:c r="A27" s="197" t="str">
        <x:v>Cloudflare Workers Paid</x:v>
      </x:c>
      <x:c r="B27" s="207" t="n">
        <x:v>0</x:v>
      </x:c>
      <x:c r="C27" s="208" t="n">
        <x:v>0</x:v>
      </x:c>
      <x:c r="D27" s="208" t="n">
        <x:v>0</x:v>
      </x:c>
      <x:c r="E27" s="208" t="n">
        <x:v>1</x:v>
      </x:c>
      <x:c r="F27" s="208" t="n">
        <x:v>1</x:v>
      </x:c>
      <x:c r="G27" s="208" t="n">
        <x:v>1</x:v>
      </x:c>
      <x:c r="H27" s="208" t="n">
        <x:v>1</x:v>
      </x:c>
      <x:c r="I27" s="208" t="n">
        <x:v>1</x:v>
      </x:c>
      <x:c r="J27" s="208" t="n">
        <x:v>1</x:v>
      </x:c>
    </x:row>
    <x:row r="28" ht="15" hidden="0" customHeight="1">
      <x:c r="A28" s="197" t="str">
        <x:v>Langfuse Core</x:v>
      </x:c>
      <x:c r="B28" s="207" t="n">
        <x:v>0</x:v>
      </x:c>
      <x:c r="C28" s="208" t="n">
        <x:v>0</x:v>
      </x:c>
      <x:c r="D28" s="208" t="n">
        <x:v>0</x:v>
      </x:c>
      <x:c r="E28" s="208" t="n">
        <x:v>1</x:v>
      </x:c>
      <x:c r="F28" s="208" t="n">
        <x:v>1</x:v>
      </x:c>
      <x:c r="G28" s="208" t="n">
        <x:v>1</x:v>
      </x:c>
      <x:c r="H28" s="208" t="n">
        <x:v>1</x:v>
      </x:c>
      <x:c r="I28" s="208" t="n">
        <x:v>1</x:v>
      </x:c>
      <x:c r="J28" s="208" t="n">
        <x:v>0</x:v>
      </x:c>
    </x:row>
    <x:row r="29" ht="15" hidden="0" customHeight="1">
      <x:c r="A29" s="197" t="str">
        <x:v>Langfuse Pro</x:v>
      </x:c>
      <x:c r="B29" s="207" t="n">
        <x:v>0</x:v>
      </x:c>
      <x:c r="C29" s="208" t="n">
        <x:v>0</x:v>
      </x:c>
      <x:c r="D29" s="208" t="n">
        <x:v>0</x:v>
      </x:c>
      <x:c r="E29" s="208" t="n">
        <x:v>0</x:v>
      </x:c>
      <x:c r="F29" s="208" t="n">
        <x:v>0</x:v>
      </x:c>
      <x:c r="G29" s="208" t="n">
        <x:v>0</x:v>
      </x:c>
      <x:c r="H29" s="208" t="n">
        <x:v>0</x:v>
      </x:c>
      <x:c r="I29" s="208" t="n">
        <x:v>0</x:v>
      </x:c>
      <x:c r="J29" s="208" t="n">
        <x:v>1</x:v>
      </x:c>
    </x:row>
    <x:row r="30" ht="15" hidden="0" customHeight="1">
      <x:c r="A30" s="197" t="str">
        <x:v>Sentry Team</x:v>
      </x:c>
      <x:c r="B30" s="207" t="n">
        <x:v>0</x:v>
      </x:c>
      <x:c r="C30" s="208" t="n">
        <x:v>0</x:v>
      </x:c>
      <x:c r="D30" s="208" t="n">
        <x:v>0</x:v>
      </x:c>
      <x:c r="E30" s="208" t="n">
        <x:v>1</x:v>
      </x:c>
      <x:c r="F30" s="208" t="n">
        <x:v>1</x:v>
      </x:c>
      <x:c r="G30" s="208" t="n">
        <x:v>1</x:v>
      </x:c>
      <x:c r="H30" s="208" t="n">
        <x:v>1</x:v>
      </x:c>
      <x:c r="I30" s="208" t="n">
        <x:v>1</x:v>
      </x:c>
      <x:c r="J30" s="208" t="n">
        <x:v>0</x:v>
      </x:c>
    </x:row>
    <x:row r="31" ht="15" hidden="0" customHeight="1">
      <x:c r="A31" s="197" t="str">
        <x:v>Sentry Business</x:v>
      </x:c>
      <x:c r="B31" s="207" t="n">
        <x:v>0</x:v>
      </x:c>
      <x:c r="C31" s="208" t="n">
        <x:v>0</x:v>
      </x:c>
      <x:c r="D31" s="208" t="n">
        <x:v>0</x:v>
      </x:c>
      <x:c r="E31" s="208" t="n">
        <x:v>0</x:v>
      </x:c>
      <x:c r="F31" s="208" t="n">
        <x:v>0</x:v>
      </x:c>
      <x:c r="G31" s="208" t="n">
        <x:v>0</x:v>
      </x:c>
      <x:c r="H31" s="208" t="n">
        <x:v>0</x:v>
      </x:c>
      <x:c r="I31" s="208" t="n">
        <x:v>0</x:v>
      </x:c>
      <x:c r="J31" s="208" t="n">
        <x:v>1</x:v>
      </x:c>
    </x:row>
    <x:row r="32" ht="15" hidden="0" customHeight="1">
      <x:c r="A32" s="200" t="str">
        <x:v>AI-agent model usage allowance</x:v>
      </x:c>
      <x:c r="B32" s="209" t="n">
        <x:v>100</x:v>
      </x:c>
      <x:c r="C32" s="210" t="n">
        <x:v>250</x:v>
      </x:c>
      <x:c r="D32" s="210" t="n">
        <x:v>500</x:v>
      </x:c>
      <x:c r="E32" s="210" t="n">
        <x:v>250</x:v>
      </x:c>
      <x:c r="F32" s="210" t="n">
        <x:v>450</x:v>
      </x:c>
      <x:c r="G32" s="210" t="n">
        <x:v>850</x:v>
      </x:c>
      <x:c r="H32" s="210" t="n">
        <x:v>500</x:v>
      </x:c>
      <x:c r="I32" s="210" t="n">
        <x:v>800</x:v>
      </x:c>
      <x:c r="J32" s="210" t="n">
        <x:v>1500</x:v>
      </x:c>
    </x:row>
    <x:row r="33" ht="15" hidden="0" customHeight="1">
      <x:c r="A33" s="166"/>
      <x:c r="B33" s="166"/>
      <x:c r="C33" s="166"/>
      <x:c r="D33" s="166"/>
      <x:c r="E33" s="166"/>
      <x:c r="F33" s="166"/>
      <x:c r="G33" s="166"/>
      <x:c r="H33" s="166"/>
      <x:c r="I33" s="166"/>
      <x:c r="J33" s="166"/>
    </x:row>
    <x:row r="34" ht="15" hidden="0" customHeight="1">
      <x:c r="A34" s="166"/>
      <x:c r="B34" s="166"/>
      <x:c r="C34" s="166"/>
      <x:c r="D34" s="166"/>
      <x:c r="E34" s="166"/>
      <x:c r="F34" s="166"/>
      <x:c r="G34" s="166"/>
      <x:c r="H34" s="166"/>
      <x:c r="I34" s="166"/>
      <x:c r="J34" s="166"/>
    </x:row>
    <x:row r="35" ht="15" hidden="0" customHeight="1">
      <x:c r="A35" s="189" t="str">
        <x:v>Scenario-level labour and build inputs</x:v>
      </x:c>
      <x:c r="B35" s="190" t="str">
        <x:v>Scenario-level labour and build inputs</x:v>
      </x:c>
      <x:c r="C35" s="190" t="str">
        <x:v>Scenario-level labour and build inputs</x:v>
      </x:c>
      <x:c r="D35" s="190" t="str">
        <x:v>Scenario-level labour and build inputs</x:v>
      </x:c>
      <x:c r="E35" s="191" t="str">
        <x:v>Scenario-level labour and build inputs</x:v>
      </x:c>
      <x:c r="F35" s="166"/>
      <x:c r="G35" s="166"/>
      <x:c r="H35" s="166"/>
      <x:c r="I35" s="166"/>
      <x:c r="J35" s="166"/>
    </x:row>
    <x:row r="36" ht="24" hidden="0" customHeight="1">
      <x:c r="A36" s="167" t="str">
        <x:v>Option</x:v>
      </x:c>
      <x:c r="B36" s="168" t="str">
        <x:v>Base maintenance hours/month</x:v>
      </x:c>
      <x:c r="C36" s="168" t="str">
        <x:v>Hours per active client/month</x:v>
      </x:c>
      <x:c r="D36" s="168" t="str">
        <x:v>Initial build hours</x:v>
      </x:c>
      <x:c r="E36" s="169" t="str">
        <x:v>External hardening / counsel (CAD)</x:v>
      </x:c>
      <x:c r="F36" s="166"/>
      <x:c r="G36" s="166"/>
      <x:c r="H36" s="166"/>
      <x:c r="I36" s="166"/>
      <x:c r="J36" s="166"/>
    </x:row>
    <x:row r="37" ht="15" hidden="0" customHeight="1">
      <x:c r="A37" s="166" t="str">
        <x:v>Core managed AI SaaS</x:v>
      </x:c>
      <x:c r="B37" s="211" t="n">
        <x:v>4</x:v>
      </x:c>
      <x:c r="C37" s="212" t="n">
        <x:v>1</x:v>
      </x:c>
      <x:c r="D37" s="212" t="n">
        <x:v>40</x:v>
      </x:c>
      <x:c r="E37" s="213" t="n">
        <x:v>2000</x:v>
      </x:c>
      <x:c r="F37" s="166"/>
      <x:c r="G37" s="166"/>
      <x:c r="H37" s="166"/>
      <x:c r="I37" s="166"/>
      <x:c r="J37" s="166"/>
    </x:row>
    <x:row r="38" ht="15" hidden="0" customHeight="1">
      <x:c r="A38" s="166" t="str">
        <x:v>Hybrid SaaS control platform</x:v>
      </x:c>
      <x:c r="B38" s="214" t="n">
        <x:v>10</x:v>
      </x:c>
      <x:c r="C38" s="215" t="n">
        <x:v>1.25</x:v>
      </x:c>
      <x:c r="D38" s="215" t="n">
        <x:v>240</x:v>
      </x:c>
      <x:c r="E38" s="216" t="n">
        <x:v>8000</x:v>
      </x:c>
      <x:c r="F38" s="166"/>
      <x:c r="G38" s="166"/>
      <x:c r="H38" s="166"/>
      <x:c r="I38" s="166"/>
      <x:c r="J38" s="166"/>
    </x:row>
    <x:row r="39" ht="15" hidden="0" customHeight="1">
      <x:c r="A39" s="166" t="str">
        <x:v>Advanced AI workload platform</x:v>
      </x:c>
      <x:c r="B39" s="217" t="n">
        <x:v>24</x:v>
      </x:c>
      <x:c r="C39" s="218" t="n">
        <x:v>2</x:v>
      </x:c>
      <x:c r="D39" s="218" t="n">
        <x:v>750</x:v>
      </x:c>
      <x:c r="E39" s="219" t="n">
        <x:v>20000</x:v>
      </x:c>
      <x:c r="F39" s="166"/>
      <x:c r="G39" s="166"/>
      <x:c r="H39" s="166"/>
      <x:c r="I39" s="166"/>
      <x:c r="J39" s="166"/>
    </x:row>
    <x:row r="40" ht="36" hidden="0" customHeight="1">
      <x:c r="A40" s="220" t="str">
        <x:v>Interpretation</x:v>
      </x:c>
      <x:c r="B40" s="220" t="str">
        <x:v>Connector monitoring, release checks and platform administration</x:v>
      </x:c>
      <x:c r="C40" s="220" t="str">
        <x:v>Incremental reconciliation and exception handling</x:v>
      </x:c>
      <x:c r="D40" s="220" t="str">
        <x:v>Requirements, build, test and launch</x:v>
      </x:c>
      <x:c r="E40" s="220" t="str">
        <x:v>Security test, legal/privacy review and production hardening</x:v>
      </x:c>
      <x:c r="F40" s="166"/>
      <x:c r="G40" s="166"/>
      <x:c r="H40" s="166"/>
      <x:c r="I40" s="166"/>
      <x:c r="J40" s="166"/>
    </x:row>
    <x:row r="41" ht="15" hidden="0" customHeight="1">
      <x:c r="A41" s="166"/>
      <x:c r="B41" s="166"/>
      <x:c r="C41" s="166"/>
      <x:c r="D41" s="166"/>
      <x:c r="E41" s="166"/>
      <x:c r="F41" s="166"/>
      <x:c r="G41" s="166"/>
      <x:c r="H41" s="166"/>
      <x:c r="I41" s="166"/>
      <x:c r="J41" s="166"/>
    </x:row>
    <x:row r="42" ht="15" hidden="0" customHeight="1">
      <x:c r="A42" s="166"/>
      <x:c r="B42" s="166"/>
      <x:c r="C42" s="166"/>
      <x:c r="D42" s="166"/>
      <x:c r="E42" s="166"/>
      <x:c r="F42" s="166"/>
      <x:c r="G42" s="166"/>
      <x:c r="H42" s="166"/>
      <x:c r="I42" s="166"/>
      <x:c r="J42" s="166"/>
    </x:row>
    <x:row r="43" ht="15" hidden="0" customHeight="1">
      <x:c r="A43" s="167" t="str">
        <x:v>Cost boundary</x:v>
      </x:c>
      <x:c r="B43" s="168" t="str">
        <x:v>Included</x:v>
      </x:c>
      <x:c r="C43" s="168" t="str">
        <x:v>Excluded</x:v>
      </x:c>
      <x:c r="D43" s="168" t="str">
        <x:v>Why</x:v>
      </x:c>
      <x:c r="E43" s="169" t="str">
        <x:v>Review trigger</x:v>
      </x:c>
      <x:c r="F43" s="166"/>
      <x:c r="G43" s="166"/>
      <x:c r="H43" s="166"/>
      <x:c r="I43" s="166"/>
      <x:c r="J43" s="166"/>
    </x:row>
    <x:row r="44" ht="48" hidden="0" customHeight="1">
      <x:c r="A44" s="186" t="str">
        <x:v>Platform run cost</x:v>
      </x:c>
      <x:c r="B44" s="186" t="str">
        <x:v>Shared operations software, agent model allowance, platform maintenance labour</x:v>
      </x:c>
      <x:c r="C44" s="186" t="str">
        <x:v>Client AI licences, implementation delivery, frontline support labour, tax</x:v>
      </x:c>
      <x:c r="D44" s="186" t="str">
        <x:v>Separates the operating control plane from the managed service P&amp;L</x:v>
      </x:c>
      <x:c r="E44" s="186" t="str">
        <x:v>After first two production clients</x:v>
      </x:c>
      <x:c r="F44" s="166"/>
      <x:c r="G44" s="166"/>
      <x:c r="H44" s="166"/>
      <x:c r="I44" s="166"/>
      <x:c r="J44" s="166"/>
    </x:row>
    <x:row r="45" ht="36" hidden="0" customHeight="1">
      <x:c r="A45" s="187" t="str">
        <x:v>Public price treatment</x:v>
      </x:c>
      <x:c r="B45" s="187" t="str">
        <x:v>Annual-billing list prices converted at 2026-08-25 FX</x:v>
      </x:c>
      <x:c r="C45" s="187" t="str">
        <x:v>Negotiated discounts, onboarding quotes, MSP distributor pricing</x:v>
      </x:c>
      <x:c r="D45" s="187" t="str">
        <x:v>Comparable planning baseline</x:v>
      </x:c>
      <x:c r="E45" s="187" t="str">
        <x:v>Before purchase</x:v>
      </x:c>
      <x:c r="F45" s="166"/>
      <x:c r="G45" s="166"/>
      <x:c r="H45" s="166"/>
      <x:c r="I45" s="166"/>
      <x:c r="J45" s="166"/>
    </x:row>
    <x:row r="46" ht="36" hidden="0" customHeight="1">
      <x:c r="A46" s="187" t="str">
        <x:v>Labour treatment</x:v>
      </x:c>
      <x:c r="B46" s="187" t="str">
        <x:v>Normalized CAD $150/hour</x:v>
      </x:c>
      <x:c r="C46" s="187" t="str">
        <x:v>Founder cash compensation timing</x:v>
      </x:c>
      <x:c r="D46" s="187" t="str">
        <x:v>Shows economic cost even when founder absorbs cash work</x:v>
      </x:c>
      <x:c r="E46" s="187" t="str">
        <x:v>Replace with observed loaded rate</x:v>
      </x:c>
      <x:c r="F46" s="166"/>
      <x:c r="G46" s="166"/>
      <x:c r="H46" s="166"/>
      <x:c r="I46" s="166"/>
      <x:c r="J46" s="166"/>
    </x:row>
    <x:row r="47" ht="36" hidden="0" customHeight="1">
      <x:c r="A47" s="188" t="str">
        <x:v>Self-service</x:v>
      </x:c>
      <x:c r="B47" s="188" t="str">
        <x:v>Read/request/approve and selected reversible writes</x:v>
      </x:c>
      <x:c r="C47" s="188" t="str">
        <x:v>Unattended privileged, destructive, legal or billing actions</x:v>
      </x:c>
      <x:c r="D47" s="188" t="str">
        <x:v>Viability depends on bounded capabilities, not a universal agent</x:v>
      </x:c>
      <x:c r="E47" s="188" t="str">
        <x:v>After connector/action testing</x:v>
      </x:c>
      <x:c r="F47" s="166"/>
      <x:c r="G47" s="166"/>
      <x:c r="H47" s="166"/>
      <x:c r="I47" s="166"/>
      <x:c r="J47" s="166"/>
    </x:row>
  </x:sheetData>
  <x:mergeCells>
    <x:mergeCell ref="A1:J1"/>
    <x:mergeCell ref="A2:J2"/>
    <x:mergeCell ref="A4:B4"/>
    <x:mergeCell ref="A15:J15"/>
    <x:mergeCell ref="A35:E35"/>
  </x:mergeCells>
  <x:dataValidations count="1">
    <x:dataValidation type="whole" operator="between" sqref="B17:J32">
      <x:formula1>0</x:formula1>
      <x:formula2>1000000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46" hidden="0" customWidth="1"/>
    <x:col min="9" max="9" width="52" hidden="0" customWidth="1"/>
  </x:cols>
  <x:sheetData>
    <x:row r="1" ht="15" hidden="0" customHeight="1">
      <x:c r="A1" s="250" t="str">
        <x:v>Platform Catalog</x:v>
      </x:c>
      <x:c r="B1" s="250" t="str">
        <x:v>Platform Catalog</x:v>
      </x:c>
      <x:c r="C1" s="250" t="str">
        <x:v>Platform Catalog</x:v>
      </x:c>
      <x:c r="D1" s="250" t="str">
        <x:v>Platform Catalog</x:v>
      </x:c>
      <x:c r="E1" s="250" t="str">
        <x:v>Platform Catalog</x:v>
      </x:c>
      <x:c r="F1" s="250" t="str">
        <x:v>Platform Catalog</x:v>
      </x:c>
      <x:c r="G1" s="250" t="str">
        <x:v>Platform Catalog</x:v>
      </x:c>
      <x:c r="H1" s="251" t="str">
        <x:v>Platform Catalog</x:v>
      </x:c>
      <x:c r="I1" s="251" t="str">
        <x:v>Platform Catalog</x:v>
      </x:c>
    </x:row>
    <x:row r="2" ht="15" hidden="0" customHeight="1">
      <x:c r="A2" s="165" t="str">
        <x:v>Public list-price inputs as of 2026-08-26. Replace these with quotes before purchase; blank or customer-specific prices are not represented as facts.</x:v>
      </x:c>
      <x:c r="B2" s="165" t="str">
        <x:v>Public list-price inputs as of 2026-08-26. Replace these with quotes before purchase; blank or customer-specific prices are not represented as facts.</x:v>
      </x:c>
      <x:c r="C2" s="165" t="str">
        <x:v>Public list-price inputs as of 2026-08-26. Replace these with quotes before purchase; blank or customer-specific prices are not represented as facts.</x:v>
      </x:c>
      <x:c r="D2" s="165" t="str">
        <x:v>Public list-price inputs as of 2026-08-26. Replace these with quotes before purchase; blank or customer-specific prices are not represented as facts.</x:v>
      </x:c>
      <x:c r="E2" s="165" t="str">
        <x:v>Public list-price inputs as of 2026-08-26. Replace these with quotes before purchase; blank or customer-specific prices are not represented as facts.</x:v>
      </x:c>
      <x:c r="F2" s="165" t="str">
        <x:v>Public list-price inputs as of 2026-08-26. Replace these with quotes before purchase; blank or customer-specific prices are not represented as facts.</x:v>
      </x:c>
      <x:c r="G2" s="165" t="str">
        <x:v>Public list-price inputs as of 2026-08-26. Replace these with quotes before purchase; blank or customer-specific prices are not represented as facts.</x:v>
      </x:c>
      <x:c r="H2" s="165" t="str">
        <x:v>Public list-price inputs as of 2026-08-26. Replace these with quotes before purchase; blank or customer-specific prices are not represented as facts.</x:v>
      </x:c>
      <x:c r="I2" s="165" t="str">
        <x:v>Public list-price inputs as of 2026-08-26. Replace these with quotes before purchase; blank or customer-specific prices are not represented as facts.</x:v>
      </x:c>
    </x:row>
    <x:row r="3" ht="15" hidden="0" customHeight="1">
      <x:c r="A3" s="166"/>
      <x:c r="B3" s="166"/>
      <x:c r="C3" s="166"/>
      <x:c r="D3" s="166"/>
      <x:c r="E3" s="166"/>
      <x:c r="F3" s="166"/>
      <x:c r="G3" s="166"/>
      <x:c r="H3" s="166"/>
      <x:c r="I3" s="166"/>
    </x:row>
    <x:row r="4" ht="15" hidden="0" customHeight="1">
      <x:c r="A4" s="167" t="str">
        <x:v>ID</x:v>
      </x:c>
      <x:c r="B4" s="168" t="str">
        <x:v>Category</x:v>
      </x:c>
      <x:c r="C4" s="168" t="str">
        <x:v>Vendor / plan</x:v>
      </x:c>
      <x:c r="D4" s="168" t="str">
        <x:v>Billing unit</x:v>
      </x:c>
      <x:c r="E4" s="168" t="str">
        <x:v>Currency</x:v>
      </x:c>
      <x:c r="F4" s="168" t="str">
        <x:v>Native price / month</x:v>
      </x:c>
      <x:c r="G4" s="168" t="str">
        <x:v>CAD price / month</x:v>
      </x:c>
      <x:c r="H4" s="168" t="str">
        <x:v>Source URL</x:v>
      </x:c>
      <x:c r="I4" s="169" t="str">
        <x:v>Planning note</x:v>
      </x:c>
    </x:row>
    <x:row r="5" ht="15" hidden="0" customHeight="1">
      <x:c r="A5" s="195" t="str">
        <x:v>P01</x:v>
      </x:c>
      <x:c r="B5" s="195" t="str">
        <x:v>Client support</x:v>
      </x:c>
      <x:c r="C5" s="195" t="str">
        <x:v>Freshdesk Growth</x:v>
      </x:c>
      <x:c r="D5" s="195" t="str">
        <x:v>agent</x:v>
      </x:c>
      <x:c r="E5" s="195" t="str">
        <x:v>USD</x:v>
      </x:c>
      <x:c r="F5" s="222" t="n">
        <x:v>19</x:v>
      </x:c>
      <x:c r="G5" s="222" t="n">
        <x:f>F5*IF(E5="USD",'Assumptions'!$B$6,IF(E5="EUR",'Assumptions'!$B$7,'Assumptions'!$B$8))</x:f>
        <x:v>26.294099999999997</x:v>
      </x:c>
      <x:c r="H5" s="195" t="str">
        <x:v>https://www.freshworks.com/freshdesk/pricing/</x:v>
      </x:c>
      <x:c r="I5" s="195" t="str">
        <x:v>Annual billing; ticketing, client portal, knowledge base and reporting</x:v>
      </x:c>
    </x:row>
    <x:row r="6" ht="15" hidden="0" customHeight="1">
      <x:c r="A6" s="197" t="str">
        <x:v>P02</x:v>
      </x:c>
      <x:c r="B6" s="197" t="str">
        <x:v>Client support</x:v>
      </x:c>
      <x:c r="C6" s="197" t="str">
        <x:v>Freshdesk Pro</x:v>
      </x:c>
      <x:c r="D6" s="197" t="str">
        <x:v>agent</x:v>
      </x:c>
      <x:c r="E6" s="197" t="str">
        <x:v>USD</x:v>
      </x:c>
      <x:c r="F6" s="223" t="n">
        <x:v>55</x:v>
      </x:c>
      <x:c r="G6" s="223" t="n">
        <x:f>F6*IF(E6="USD",'Assumptions'!$B$6,IF(E6="EUR",'Assumptions'!$B$7,'Assumptions'!$B$8))</x:f>
        <x:v>76.11449999999999</x:v>
      </x:c>
      <x:c r="H6" s="197" t="str">
        <x:v>https://www.freshworks.com/freshdesk/pricing/</x:v>
      </x:c>
      <x:c r="I6" s="197" t="str">
        <x:v>Annual billing; custom portal/objects, advanced ticketing, routing and reporting</x:v>
      </x:c>
    </x:row>
    <x:row r="7" ht="15" hidden="0" customHeight="1">
      <x:c r="A7" s="197" t="str">
        <x:v>P03</x:v>
      </x:c>
      <x:c r="B7" s="197" t="str">
        <x:v>Documentation</x:v>
      </x:c>
      <x:c r="C7" s="197" t="str">
        <x:v>Hudu</x:v>
      </x:c>
      <x:c r="D7" s="197" t="str">
        <x:v>operator user</x:v>
      </x:c>
      <x:c r="E7" s="197" t="str">
        <x:v>USD</x:v>
      </x:c>
      <x:c r="F7" s="223" t="n">
        <x:v>27</x:v>
      </x:c>
      <x:c r="G7" s="223" t="n">
        <x:f>F7*IF(E7="USD",'Assumptions'!$B$6,IF(E7="EUR",'Assumptions'!$B$7,'Assumptions'!$B$8))</x:f>
        <x:v>37.3653</x:v>
      </x:c>
      <x:c r="H7" s="197" t="str">
        <x:v>https://www.hudu.com/pricing</x:v>
      </x:c>
      <x:c r="I7" s="197" t="str">
        <x:v>Annual billing; client portal users are free; REST API</x:v>
      </x:c>
    </x:row>
    <x:row r="8" ht="15" hidden="0" customHeight="1">
      <x:c r="A8" s="197" t="str">
        <x:v>P04</x:v>
      </x:c>
      <x:c r="B8" s="197" t="str">
        <x:v>Secrets</x:v>
      </x:c>
      <x:c r="C8" s="197" t="str">
        <x:v>1Password Teams Starter</x:v>
      </x:c>
      <x:c r="D8" s="197" t="str">
        <x:v>organization</x:v>
      </x:c>
      <x:c r="E8" s="197" t="str">
        <x:v>CAD</x:v>
      </x:c>
      <x:c r="F8" s="223" t="n">
        <x:v>29.95</x:v>
      </x:c>
      <x:c r="G8" s="223" t="n">
        <x:f>F8*IF(E8="USD",'Assumptions'!$B$6,IF(E8="EUR",'Assumptions'!$B$7,'Assumptions'!$B$8))</x:f>
        <x:v>29.95</x:v>
      </x:c>
      <x:c r="H8" s="197" t="str">
        <x:v>https://1password.com/pricing/business</x:v>
      </x:c>
      <x:c r="I8" s="197" t="str">
        <x:v>Annual billing; includes 10 members; MSP edition requires quote</x:v>
      </x:c>
    </x:row>
    <x:row r="9" ht="15" hidden="0" customHeight="1">
      <x:c r="A9" s="197" t="str">
        <x:v>P05</x:v>
      </x:c>
      <x:c r="B9" s="197" t="str">
        <x:v>Automation</x:v>
      </x:c>
      <x:c r="C9" s="197" t="str">
        <x:v>n8n Starter</x:v>
      </x:c>
      <x:c r="D9" s="197" t="str">
        <x:v>workspace</x:v>
      </x:c>
      <x:c r="E9" s="197" t="str">
        <x:v>EUR</x:v>
      </x:c>
      <x:c r="F9" s="223" t="n">
        <x:v>20</x:v>
      </x:c>
      <x:c r="G9" s="223" t="n">
        <x:f>F9*IF(E9="USD",'Assumptions'!$B$6,IF(E9="EUR",'Assumptions'!$B$7,'Assumptions'!$B$8))</x:f>
        <x:v>32.302</x:v>
      </x:c>
      <x:c r="H9" s="197" t="str">
        <x:v>https://n8n.io/pricing/</x:v>
      </x:c>
      <x:c r="I9" s="197" t="str">
        <x:v>Annual billing; 2,500 executions; cloud data hosted in Frankfurt</x:v>
      </x:c>
    </x:row>
    <x:row r="10" ht="15" hidden="0" customHeight="1">
      <x:c r="A10" s="197" t="str">
        <x:v>P06</x:v>
      </x:c>
      <x:c r="B10" s="197" t="str">
        <x:v>Automation</x:v>
      </x:c>
      <x:c r="C10" s="197" t="str">
        <x:v>n8n Pro</x:v>
      </x:c>
      <x:c r="D10" s="197" t="str">
        <x:v>workspace</x:v>
      </x:c>
      <x:c r="E10" s="197" t="str">
        <x:v>EUR</x:v>
      </x:c>
      <x:c r="F10" s="223" t="n">
        <x:v>50</x:v>
      </x:c>
      <x:c r="G10" s="223" t="n">
        <x:f>F10*IF(E10="USD",'Assumptions'!$B$6,IF(E10="EUR",'Assumptions'!$B$7,'Assumptions'!$B$8))</x:f>
        <x:v>80.755</x:v>
      </x:c>
      <x:c r="H10" s="197" t="str">
        <x:v>https://n8n.io/pricing/</x:v>
      </x:c>
      <x:c r="I10" s="197" t="str">
        <x:v>Annual billing; 10,000 executions and admin roles</x:v>
      </x:c>
    </x:row>
    <x:row r="11" ht="15" hidden="0" customHeight="1">
      <x:c r="A11" s="197" t="str">
        <x:v>P07</x:v>
      </x:c>
      <x:c r="B11" s="197" t="str">
        <x:v>Automation</x:v>
      </x:c>
      <x:c r="C11" s="197" t="str">
        <x:v>n8n Business</x:v>
      </x:c>
      <x:c r="D11" s="197" t="str">
        <x:v>workspace</x:v>
      </x:c>
      <x:c r="E11" s="197" t="str">
        <x:v>EUR</x:v>
      </x:c>
      <x:c r="F11" s="223" t="n">
        <x:v>667</x:v>
      </x:c>
      <x:c r="G11" s="223" t="n">
        <x:f>F11*IF(E11="USD",'Assumptions'!$B$6,IF(E11="EUR",'Assumptions'!$B$7,'Assumptions'!$B$8))</x:f>
        <x:v>1077.2717</x:v>
      </x:c>
      <x:c r="H11" s="197" t="str">
        <x:v>https://n8n.io/pricing/</x:v>
      </x:c>
      <x:c r="I11" s="197" t="str">
        <x:v>Annual billing; self-hosted, 40,000 executions, environments and SSO</x:v>
      </x:c>
    </x:row>
    <x:row r="12" ht="15" hidden="0" customHeight="1">
      <x:c r="A12" s="197" t="str">
        <x:v>P08</x:v>
      </x:c>
      <x:c r="B12" s="197" t="str">
        <x:v>Ledger / auth</x:v>
      </x:c>
      <x:c r="C12" s="197" t="str">
        <x:v>Supabase Pro</x:v>
      </x:c>
      <x:c r="D12" s="197" t="str">
        <x:v>project</x:v>
      </x:c>
      <x:c r="E12" s="197" t="str">
        <x:v>USD</x:v>
      </x:c>
      <x:c r="F12" s="223" t="n">
        <x:v>25</x:v>
      </x:c>
      <x:c r="G12" s="223" t="n">
        <x:f>F12*IF(E12="USD",'Assumptions'!$B$6,IF(E12="EUR",'Assumptions'!$B$7,'Assumptions'!$B$8))</x:f>
        <x:v>34.5975</x:v>
      </x:c>
      <x:c r="H12" s="197" t="str">
        <x:v>https://supabase.com/pricing</x:v>
      </x:c>
      <x:c r="I12" s="197" t="str">
        <x:v>Production Postgres/auth/storage; first project and micro compute included</x:v>
      </x:c>
    </x:row>
    <x:row r="13" ht="15" hidden="0" customHeight="1">
      <x:c r="A13" s="197" t="str">
        <x:v>P09</x:v>
      </x:c>
      <x:c r="B13" s="197" t="str">
        <x:v>Recovery</x:v>
      </x:c>
      <x:c r="C13" s="197" t="str">
        <x:v>Supabase PITR</x:v>
      </x:c>
      <x:c r="D13" s="197" t="str">
        <x:v>project</x:v>
      </x:c>
      <x:c r="E13" s="197" t="str">
        <x:v>USD</x:v>
      </x:c>
      <x:c r="F13" s="223" t="n">
        <x:v>100</x:v>
      </x:c>
      <x:c r="G13" s="223" t="n">
        <x:f>F13*IF(E13="USD",'Assumptions'!$B$6,IF(E13="EUR",'Assumptions'!$B$7,'Assumptions'!$B$8))</x:f>
        <x:v>138.39</x:v>
      </x:c>
      <x:c r="H13" s="197" t="str">
        <x:v>https://supabase.com/pricing</x:v>
      </x:c>
      <x:c r="I13" s="197" t="str">
        <x:v>Point-in-time recovery add-on starting price</x:v>
      </x:c>
    </x:row>
    <x:row r="14" ht="15" hidden="0" customHeight="1">
      <x:c r="A14" s="197" t="str">
        <x:v>P10</x:v>
      </x:c>
      <x:c r="B14" s="197" t="str">
        <x:v>B2B identity</x:v>
      </x:c>
      <x:c r="C14" s="197" t="str">
        <x:v>Clerk Enhanced B2B</x:v>
      </x:c>
      <x:c r="D14" s="197" t="str">
        <x:v>application</x:v>
      </x:c>
      <x:c r="E14" s="197" t="str">
        <x:v>USD</x:v>
      </x:c>
      <x:c r="F14" s="223" t="n">
        <x:v>85</x:v>
      </x:c>
      <x:c r="G14" s="223" t="n">
        <x:f>F14*IF(E14="USD",'Assumptions'!$B$6,IF(E14="EUR",'Assumptions'!$B$7,'Assumptions'!$B$8))</x:f>
        <x:v>117.63149999999999</x:v>
      </x:c>
      <x:c r="H14" s="197" t="str">
        <x:v>https://clerk.com/pricing</x:v>
      </x:c>
      <x:c r="I14" s="197" t="str">
        <x:v>Annual billing; custom roles and unlimited organization members</x:v>
      </x:c>
    </x:row>
    <x:row r="15" ht="15" hidden="0" customHeight="1">
      <x:c r="A15" s="197" t="str">
        <x:v>P11</x:v>
      </x:c>
      <x:c r="B15" s="197" t="str">
        <x:v>Hosting</x:v>
      </x:c>
      <x:c r="C15" s="197" t="str">
        <x:v>Cloudflare Workers Paid</x:v>
      </x:c>
      <x:c r="D15" s="197" t="str">
        <x:v>account</x:v>
      </x:c>
      <x:c r="E15" s="197" t="str">
        <x:v>USD</x:v>
      </x:c>
      <x:c r="F15" s="223" t="n">
        <x:v>5</x:v>
      </x:c>
      <x:c r="G15" s="223" t="n">
        <x:f>F15*IF(E15="USD",'Assumptions'!$B$6,IF(E15="EUR",'Assumptions'!$B$7,'Assumptions'!$B$8))</x:f>
        <x:v>6.919499999999999</x:v>
      </x:c>
      <x:c r="H15" s="197" t="str">
        <x:v>https://developers.cloudflare.com/workers/platform/pricing/</x:v>
      </x:c>
      <x:c r="I15" s="197" t="str">
        <x:v>Base paid-plan planning allowance; usage overages excluded</x:v>
      </x:c>
    </x:row>
    <x:row r="16" ht="15" hidden="0" customHeight="1">
      <x:c r="A16" s="197" t="str">
        <x:v>P12</x:v>
      </x:c>
      <x:c r="B16" s="197" t="str">
        <x:v>Agent observability</x:v>
      </x:c>
      <x:c r="C16" s="197" t="str">
        <x:v>Langfuse Core</x:v>
      </x:c>
      <x:c r="D16" s="197" t="str">
        <x:v>account</x:v>
      </x:c>
      <x:c r="E16" s="197" t="str">
        <x:v>USD</x:v>
      </x:c>
      <x:c r="F16" s="223" t="n">
        <x:v>29</x:v>
      </x:c>
      <x:c r="G16" s="223" t="n">
        <x:f>F16*IF(E16="USD",'Assumptions'!$B$6,IF(E16="EUR",'Assumptions'!$B$7,'Assumptions'!$B$8))</x:f>
        <x:v>40.1331</x:v>
      </x:c>
      <x:c r="H16" s="197" t="str">
        <x:v>https://langfuse.com/pricing</x:v>
      </x:c>
      <x:c r="I16" s="197" t="str">
        <x:v>100k units; 90-day data access; unlimited users</x:v>
      </x:c>
    </x:row>
    <x:row r="17" ht="15" hidden="0" customHeight="1">
      <x:c r="A17" s="197" t="str">
        <x:v>P13</x:v>
      </x:c>
      <x:c r="B17" s="197" t="str">
        <x:v>Agent observability</x:v>
      </x:c>
      <x:c r="C17" s="197" t="str">
        <x:v>Langfuse Pro</x:v>
      </x:c>
      <x:c r="D17" s="197" t="str">
        <x:v>account</x:v>
      </x:c>
      <x:c r="E17" s="197" t="str">
        <x:v>USD</x:v>
      </x:c>
      <x:c r="F17" s="223" t="n">
        <x:v>199</x:v>
      </x:c>
      <x:c r="G17" s="223" t="n">
        <x:f>F17*IF(E17="USD",'Assumptions'!$B$6,IF(E17="EUR",'Assumptions'!$B$7,'Assumptions'!$B$8))</x:f>
        <x:v>275.3961</x:v>
      </x:c>
      <x:c r="H17" s="197" t="str">
        <x:v>https://langfuse.com/pricing</x:v>
      </x:c>
      <x:c r="I17" s="197" t="str">
        <x:v>Three-year data access and higher limits; advanced team controls extra</x:v>
      </x:c>
    </x:row>
    <x:row r="18" ht="15" hidden="0" customHeight="1">
      <x:c r="A18" s="197" t="str">
        <x:v>P14</x:v>
      </x:c>
      <x:c r="B18" s="197" t="str">
        <x:v>Application monitoring</x:v>
      </x:c>
      <x:c r="C18" s="197" t="str">
        <x:v>Sentry Team</x:v>
      </x:c>
      <x:c r="D18" s="197" t="str">
        <x:v>account</x:v>
      </x:c>
      <x:c r="E18" s="197" t="str">
        <x:v>USD</x:v>
      </x:c>
      <x:c r="F18" s="223" t="n">
        <x:v>26</x:v>
      </x:c>
      <x:c r="G18" s="223" t="n">
        <x:f>F18*IF(E18="USD",'Assumptions'!$B$6,IF(E18="EUR",'Assumptions'!$B$7,'Assumptions'!$B$8))</x:f>
        <x:v>35.9814</x:v>
      </x:c>
      <x:c r="H18" s="197" t="str">
        <x:v>https://sentry.io/pricing/</x:v>
      </x:c>
      <x:c r="I18" s="197" t="str">
        <x:v>Unlimited users, API integrations and base quotas</x:v>
      </x:c>
    </x:row>
    <x:row r="19" ht="15" hidden="0" customHeight="1">
      <x:c r="A19" s="197" t="str">
        <x:v>P15</x:v>
      </x:c>
      <x:c r="B19" s="197" t="str">
        <x:v>Application monitoring</x:v>
      </x:c>
      <x:c r="C19" s="197" t="str">
        <x:v>Sentry Business</x:v>
      </x:c>
      <x:c r="D19" s="197" t="str">
        <x:v>account</x:v>
      </x:c>
      <x:c r="E19" s="197" t="str">
        <x:v>USD</x:v>
      </x:c>
      <x:c r="F19" s="223" t="n">
        <x:v>80</x:v>
      </x:c>
      <x:c r="G19" s="223" t="n">
        <x:f>F19*IF(E19="USD",'Assumptions'!$B$6,IF(E19="EUR",'Assumptions'!$B$7,'Assumptions'!$B$8))</x:f>
        <x:v>110.71199999999999</x:v>
      </x:c>
      <x:c r="H19" s="197" t="str">
        <x:v>https://sentry.io/pricing/</x:v>
      </x:c>
      <x:c r="I19" s="197" t="str">
        <x:v>Advanced quotas plus SAML/SCIM</x:v>
      </x:c>
    </x:row>
    <x:row r="20" ht="15" hidden="0" customHeight="1">
      <x:c r="A20" s="200" t="str">
        <x:v>P16</x:v>
      </x:c>
      <x:c r="B20" s="200" t="str">
        <x:v>Model usage</x:v>
      </x:c>
      <x:c r="C20" s="200" t="str">
        <x:v>AI-agent model usage allowance</x:v>
      </x:c>
      <x:c r="D20" s="200" t="str">
        <x:v>CAD dollar</x:v>
      </x:c>
      <x:c r="E20" s="200" t="str">
        <x:v>CAD</x:v>
      </x:c>
      <x:c r="F20" s="224" t="n">
        <x:v>1</x:v>
      </x:c>
      <x:c r="G20" s="224" t="n">
        <x:f>F20*IF(E20="USD",'Assumptions'!$B$6,IF(E20="EUR",'Assumptions'!$B$7,'Assumptions'!$B$8))</x:f>
        <x:v>1</x:v>
      </x:c>
      <x:c r="H20" s="200" t="str">
        <x:v>Internal planning assumption</x:v>
      </x:c>
      <x:c r="I20" s="200" t="str">
        <x:v>Quantity equals the editable monthly CAD allowance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f3d5b22ca31f42d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15" hidden="0" customHeight="1">
      <x:c r="A1" s="250" t="str">
        <x:v>Monthly Scenario Model</x:v>
      </x:c>
      <x:c r="B1" s="250" t="str">
        <x:v>Monthly Scenario Model</x:v>
      </x:c>
      <x:c r="C1" s="250" t="str">
        <x:v>Monthly Scenario Model</x:v>
      </x:c>
      <x:c r="D1" s="250" t="str">
        <x:v>Monthly Scenario Model</x:v>
      </x:c>
      <x:c r="E1" s="250" t="str">
        <x:v>Monthly Scenario Model</x:v>
      </x:c>
      <x:c r="F1" s="250" t="str">
        <x:v>Monthly Scenario Model</x:v>
      </x:c>
      <x:c r="G1" s="250" t="str">
        <x:v>Monthly Scenario Model</x:v>
      </x:c>
      <x:c r="H1" s="250" t="str">
        <x:v>Monthly Scenario Model</x:v>
      </x:c>
      <x:c r="I1" s="250" t="str">
        <x:v>Monthly Scenario Model</x:v>
      </x:c>
      <x:c r="J1" s="250" t="str">
        <x:v>Monthly Scenario Model</x:v>
      </x:c>
    </x:row>
    <x:row r="2" ht="15" hidden="0" customHeight="1">
      <x:c r="A2" s="165" t="str">
        <x:v>Each platform line multiplies the editable quantity by its converted CAD unit price. Maintenance labour is economic cost, not necessarily cash founder compensation.</x:v>
      </x:c>
      <x:c r="B2" s="165" t="str">
        <x:v>Each platform line multiplies the editable quantity by its converted CAD unit price. Maintenance labour is economic cost, not necessarily cash founder compensation.</x:v>
      </x:c>
      <x:c r="C2" s="165" t="str">
        <x:v>Each platform line multiplies the editable quantity by its converted CAD unit price. Maintenance labour is economic cost, not necessarily cash founder compensation.</x:v>
      </x:c>
      <x:c r="D2" s="165" t="str">
        <x:v>Each platform line multiplies the editable quantity by its converted CAD unit price. Maintenance labour is economic cost, not necessarily cash founder compensation.</x:v>
      </x:c>
      <x:c r="E2" s="165" t="str">
        <x:v>Each platform line multiplies the editable quantity by its converted CAD unit price. Maintenance labour is economic cost, not necessarily cash founder compensation.</x:v>
      </x:c>
      <x:c r="F2" s="165" t="str">
        <x:v>Each platform line multiplies the editable quantity by its converted CAD unit price. Maintenance labour is economic cost, not necessarily cash founder compensation.</x:v>
      </x:c>
      <x:c r="G2" s="165" t="str">
        <x:v>Each platform line multiplies the editable quantity by its converted CAD unit price. Maintenance labour is economic cost, not necessarily cash founder compensation.</x:v>
      </x:c>
      <x:c r="H2" s="165" t="str">
        <x:v>Each platform line multiplies the editable quantity by its converted CAD unit price. Maintenance labour is economic cost, not necessarily cash founder compensation.</x:v>
      </x:c>
      <x:c r="I2" s="165" t="str">
        <x:v>Each platform line multiplies the editable quantity by its converted CAD unit price. Maintenance labour is economic cost, not necessarily cash founder compensation.</x:v>
      </x:c>
      <x:c r="J2" s="165" t="str">
        <x:v>Each platform line multiplies the editable quantity by its converted CAD unit price. Maintenance labour is economic cost, not necessarily cash founder compensation.</x:v>
      </x:c>
    </x:row>
    <x:row r="3" ht="15" hidden="0" customHeight="1">
      <x:c r="A3" s="166"/>
      <x:c r="B3" s="166"/>
      <x:c r="C3" s="166"/>
      <x:c r="D3" s="166"/>
      <x:c r="E3" s="166"/>
      <x:c r="F3" s="166"/>
      <x:c r="G3" s="166"/>
      <x:c r="H3" s="166"/>
      <x:c r="I3" s="166"/>
      <x:c r="J3" s="166"/>
    </x:row>
    <x:row r="4" ht="15" hidden="0" customHeight="1">
      <x:c r="A4" s="167" t="str">
        <x:v>Component</x:v>
      </x:c>
      <x:c r="B4" s="168" t="str">
        <x:v>Core SaaS / 1</x:v>
      </x:c>
      <x:c r="C4" s="168" t="str">
        <x:v>Core SaaS / 5</x:v>
      </x:c>
      <x:c r="D4" s="168" t="str">
        <x:v>Core SaaS / 15</x:v>
      </x:c>
      <x:c r="E4" s="168" t="str">
        <x:v>Hybrid / 1</x:v>
      </x:c>
      <x:c r="F4" s="168" t="str">
        <x:v>Hybrid / 5</x:v>
      </x:c>
      <x:c r="G4" s="168" t="str">
        <x:v>Hybrid / 15</x:v>
      </x:c>
      <x:c r="H4" s="168" t="str">
        <x:v>Advanced / 1</x:v>
      </x:c>
      <x:c r="I4" s="168" t="str">
        <x:v>Advanced / 5</x:v>
      </x:c>
      <x:c r="J4" s="169" t="str">
        <x:v>Advanced / 15</x:v>
      </x:c>
    </x:row>
    <x:row r="5" ht="15" hidden="0" customHeight="1">
      <x:c r="A5" s="195" t="str">
        <x:v>Freshdesk Growth</x:v>
      </x:c>
      <x:c r="B5" s="225" t="n">
        <x:f>'Assumptions'!B17*'Platform Catalog'!$G$5</x:f>
        <x:v>26.294099999999997</x:v>
      </x:c>
      <x:c r="C5" s="225" t="n">
        <x:f>'Assumptions'!C17*'Platform Catalog'!$G$5</x:f>
        <x:v>52.58819999999999</x:v>
      </x:c>
      <x:c r="D5" s="225" t="n">
        <x:f>'Assumptions'!D17*'Platform Catalog'!$G$5</x:f>
        <x:v>105.17639999999999</x:v>
      </x:c>
      <x:c r="E5" s="225" t="n">
        <x:f>'Assumptions'!E17*'Platform Catalog'!$G$5</x:f>
        <x:v>0</x:v>
      </x:c>
      <x:c r="F5" s="225" t="n">
        <x:f>'Assumptions'!F17*'Platform Catalog'!$G$5</x:f>
        <x:v>0</x:v>
      </x:c>
      <x:c r="G5" s="225" t="n">
        <x:f>'Assumptions'!G17*'Platform Catalog'!$G$5</x:f>
        <x:v>0</x:v>
      </x:c>
      <x:c r="H5" s="225" t="n">
        <x:f>'Assumptions'!H17*'Platform Catalog'!$G$5</x:f>
        <x:v>0</x:v>
      </x:c>
      <x:c r="I5" s="225" t="n">
        <x:f>'Assumptions'!I17*'Platform Catalog'!$G$5</x:f>
        <x:v>0</x:v>
      </x:c>
      <x:c r="J5" s="225" t="n">
        <x:f>'Assumptions'!J17*'Platform Catalog'!$G$5</x:f>
        <x:v>0</x:v>
      </x:c>
    </x:row>
    <x:row r="6" ht="15" hidden="0" customHeight="1">
      <x:c r="A6" s="197" t="str">
        <x:v>Freshdesk Pro</x:v>
      </x:c>
      <x:c r="B6" s="226" t="n">
        <x:f>'Assumptions'!B18*'Platform Catalog'!$G$6</x:f>
        <x:v>0</x:v>
      </x:c>
      <x:c r="C6" s="226" t="n">
        <x:f>'Assumptions'!C18*'Platform Catalog'!$G$6</x:f>
        <x:v>0</x:v>
      </x:c>
      <x:c r="D6" s="226" t="n">
        <x:f>'Assumptions'!D18*'Platform Catalog'!$G$6</x:f>
        <x:v>0</x:v>
      </x:c>
      <x:c r="E6" s="226" t="n">
        <x:f>'Assumptions'!E18*'Platform Catalog'!$G$6</x:f>
        <x:v>76.11449999999999</x:v>
      </x:c>
      <x:c r="F6" s="226" t="n">
        <x:f>'Assumptions'!F18*'Platform Catalog'!$G$6</x:f>
        <x:v>152.22899999999998</x:v>
      </x:c>
      <x:c r="G6" s="226" t="n">
        <x:f>'Assumptions'!G18*'Platform Catalog'!$G$6</x:f>
        <x:v>304.45799999999997</x:v>
      </x:c>
      <x:c r="H6" s="226" t="n">
        <x:f>'Assumptions'!H18*'Platform Catalog'!$G$6</x:f>
        <x:v>76.11449999999999</x:v>
      </x:c>
      <x:c r="I6" s="226" t="n">
        <x:f>'Assumptions'!I18*'Platform Catalog'!$G$6</x:f>
        <x:v>152.22899999999998</x:v>
      </x:c>
      <x:c r="J6" s="226" t="n">
        <x:f>'Assumptions'!J18*'Platform Catalog'!$G$6</x:f>
        <x:v>304.45799999999997</x:v>
      </x:c>
    </x:row>
    <x:row r="7" ht="15" hidden="0" customHeight="1">
      <x:c r="A7" s="197" t="str">
        <x:v>Hudu</x:v>
      </x:c>
      <x:c r="B7" s="226" t="n">
        <x:f>'Assumptions'!B19*'Platform Catalog'!$G$7</x:f>
        <x:v>37.3653</x:v>
      </x:c>
      <x:c r="C7" s="226" t="n">
        <x:f>'Assumptions'!C19*'Platform Catalog'!$G$7</x:f>
        <x:v>74.7306</x:v>
      </x:c>
      <x:c r="D7" s="226" t="n">
        <x:f>'Assumptions'!D19*'Platform Catalog'!$G$7</x:f>
        <x:v>149.4612</x:v>
      </x:c>
      <x:c r="E7" s="226" t="n">
        <x:f>'Assumptions'!E19*'Platform Catalog'!$G$7</x:f>
        <x:v>37.3653</x:v>
      </x:c>
      <x:c r="F7" s="226" t="n">
        <x:f>'Assumptions'!F19*'Platform Catalog'!$G$7</x:f>
        <x:v>74.7306</x:v>
      </x:c>
      <x:c r="G7" s="226" t="n">
        <x:f>'Assumptions'!G19*'Platform Catalog'!$G$7</x:f>
        <x:v>149.4612</x:v>
      </x:c>
      <x:c r="H7" s="226" t="n">
        <x:f>'Assumptions'!H19*'Platform Catalog'!$G$7</x:f>
        <x:v>74.7306</x:v>
      </x:c>
      <x:c r="I7" s="226" t="n">
        <x:f>'Assumptions'!I19*'Platform Catalog'!$G$7</x:f>
        <x:v>112.0959</x:v>
      </x:c>
      <x:c r="J7" s="226" t="n">
        <x:f>'Assumptions'!J19*'Platform Catalog'!$G$7</x:f>
        <x:v>186.82649999999998</x:v>
      </x:c>
    </x:row>
    <x:row r="8" ht="15" hidden="0" customHeight="1">
      <x:c r="A8" s="197" t="str">
        <x:v>1Password Teams Starter</x:v>
      </x:c>
      <x:c r="B8" s="226" t="n">
        <x:f>'Assumptions'!B20*'Platform Catalog'!$G$8</x:f>
        <x:v>29.95</x:v>
      </x:c>
      <x:c r="C8" s="226" t="n">
        <x:f>'Assumptions'!C20*'Platform Catalog'!$G$8</x:f>
        <x:v>29.95</x:v>
      </x:c>
      <x:c r="D8" s="226" t="n">
        <x:f>'Assumptions'!D20*'Platform Catalog'!$G$8</x:f>
        <x:v>29.95</x:v>
      </x:c>
      <x:c r="E8" s="226" t="n">
        <x:f>'Assumptions'!E20*'Platform Catalog'!$G$8</x:f>
        <x:v>29.95</x:v>
      </x:c>
      <x:c r="F8" s="226" t="n">
        <x:f>'Assumptions'!F20*'Platform Catalog'!$G$8</x:f>
        <x:v>29.95</x:v>
      </x:c>
      <x:c r="G8" s="226" t="n">
        <x:f>'Assumptions'!G20*'Platform Catalog'!$G$8</x:f>
        <x:v>29.95</x:v>
      </x:c>
      <x:c r="H8" s="226" t="n">
        <x:f>'Assumptions'!H20*'Platform Catalog'!$G$8</x:f>
        <x:v>29.95</x:v>
      </x:c>
      <x:c r="I8" s="226" t="n">
        <x:f>'Assumptions'!I20*'Platform Catalog'!$G$8</x:f>
        <x:v>29.95</x:v>
      </x:c>
      <x:c r="J8" s="226" t="n">
        <x:f>'Assumptions'!J20*'Platform Catalog'!$G$8</x:f>
        <x:v>29.95</x:v>
      </x:c>
    </x:row>
    <x:row r="9" ht="15" hidden="0" customHeight="1">
      <x:c r="A9" s="197" t="str">
        <x:v>n8n Starter</x:v>
      </x:c>
      <x:c r="B9" s="226" t="n">
        <x:f>'Assumptions'!B21*'Platform Catalog'!$G$9</x:f>
        <x:v>32.302</x:v>
      </x:c>
      <x:c r="C9" s="226" t="n">
        <x:f>'Assumptions'!C21*'Platform Catalog'!$G$9</x:f>
        <x:v>0</x:v>
      </x:c>
      <x:c r="D9" s="226" t="n">
        <x:f>'Assumptions'!D21*'Platform Catalog'!$G$9</x:f>
        <x:v>0</x:v>
      </x:c>
      <x:c r="E9" s="226" t="n">
        <x:f>'Assumptions'!E21*'Platform Catalog'!$G$9</x:f>
        <x:v>0</x:v>
      </x:c>
      <x:c r="F9" s="226" t="n">
        <x:f>'Assumptions'!F21*'Platform Catalog'!$G$9</x:f>
        <x:v>0</x:v>
      </x:c>
      <x:c r="G9" s="226" t="n">
        <x:f>'Assumptions'!G21*'Platform Catalog'!$G$9</x:f>
        <x:v>0</x:v>
      </x:c>
      <x:c r="H9" s="226" t="n">
        <x:f>'Assumptions'!H21*'Platform Catalog'!$G$9</x:f>
        <x:v>0</x:v>
      </x:c>
      <x:c r="I9" s="226" t="n">
        <x:f>'Assumptions'!I21*'Platform Catalog'!$G$9</x:f>
        <x:v>0</x:v>
      </x:c>
      <x:c r="J9" s="226" t="n">
        <x:f>'Assumptions'!J21*'Platform Catalog'!$G$9</x:f>
        <x:v>0</x:v>
      </x:c>
    </x:row>
    <x:row r="10" ht="15" hidden="0" customHeight="1">
      <x:c r="A10" s="197" t="str">
        <x:v>n8n Pro</x:v>
      </x:c>
      <x:c r="B10" s="226" t="n">
        <x:f>'Assumptions'!B22*'Platform Catalog'!$G$10</x:f>
        <x:v>0</x:v>
      </x:c>
      <x:c r="C10" s="226" t="n">
        <x:f>'Assumptions'!C22*'Platform Catalog'!$G$10</x:f>
        <x:v>80.755</x:v>
      </x:c>
      <x:c r="D10" s="226" t="n">
        <x:f>'Assumptions'!D22*'Platform Catalog'!$G$10</x:f>
        <x:v>80.755</x:v>
      </x:c>
      <x:c r="E10" s="226" t="n">
        <x:f>'Assumptions'!E22*'Platform Catalog'!$G$10</x:f>
        <x:v>80.755</x:v>
      </x:c>
      <x:c r="F10" s="226" t="n">
        <x:f>'Assumptions'!F22*'Platform Catalog'!$G$10</x:f>
        <x:v>80.755</x:v>
      </x:c>
      <x:c r="G10" s="226" t="n">
        <x:f>'Assumptions'!G22*'Platform Catalog'!$G$10</x:f>
        <x:v>80.755</x:v>
      </x:c>
      <x:c r="H10" s="226" t="n">
        <x:f>'Assumptions'!H22*'Platform Catalog'!$G$10</x:f>
        <x:v>80.755</x:v>
      </x:c>
      <x:c r="I10" s="226" t="n">
        <x:f>'Assumptions'!I22*'Platform Catalog'!$G$10</x:f>
        <x:v>80.755</x:v>
      </x:c>
      <x:c r="J10" s="226" t="n">
        <x:f>'Assumptions'!J22*'Platform Catalog'!$G$10</x:f>
        <x:v>0</x:v>
      </x:c>
    </x:row>
    <x:row r="11" ht="15" hidden="0" customHeight="1">
      <x:c r="A11" s="197" t="str">
        <x:v>n8n Business</x:v>
      </x:c>
      <x:c r="B11" s="226" t="n">
        <x:f>'Assumptions'!B23*'Platform Catalog'!$G$11</x:f>
        <x:v>0</x:v>
      </x:c>
      <x:c r="C11" s="226" t="n">
        <x:f>'Assumptions'!C23*'Platform Catalog'!$G$11</x:f>
        <x:v>0</x:v>
      </x:c>
      <x:c r="D11" s="226" t="n">
        <x:f>'Assumptions'!D23*'Platform Catalog'!$G$11</x:f>
        <x:v>0</x:v>
      </x:c>
      <x:c r="E11" s="226" t="n">
        <x:f>'Assumptions'!E23*'Platform Catalog'!$G$11</x:f>
        <x:v>0</x:v>
      </x:c>
      <x:c r="F11" s="226" t="n">
        <x:f>'Assumptions'!F23*'Platform Catalog'!$G$11</x:f>
        <x:v>0</x:v>
      </x:c>
      <x:c r="G11" s="226" t="n">
        <x:f>'Assumptions'!G23*'Platform Catalog'!$G$11</x:f>
        <x:v>0</x:v>
      </x:c>
      <x:c r="H11" s="226" t="n">
        <x:f>'Assumptions'!H23*'Platform Catalog'!$G$11</x:f>
        <x:v>0</x:v>
      </x:c>
      <x:c r="I11" s="226" t="n">
        <x:f>'Assumptions'!I23*'Platform Catalog'!$G$11</x:f>
        <x:v>0</x:v>
      </x:c>
      <x:c r="J11" s="226" t="n">
        <x:f>'Assumptions'!J23*'Platform Catalog'!$G$11</x:f>
        <x:v>1077.2717</x:v>
      </x:c>
    </x:row>
    <x:row r="12" ht="15" hidden="0" customHeight="1">
      <x:c r="A12" s="197" t="str">
        <x:v>Supabase Pro</x:v>
      </x:c>
      <x:c r="B12" s="226" t="n">
        <x:f>'Assumptions'!B24*'Platform Catalog'!$G$12</x:f>
        <x:v>0</x:v>
      </x:c>
      <x:c r="C12" s="226" t="n">
        <x:f>'Assumptions'!C24*'Platform Catalog'!$G$12</x:f>
        <x:v>0</x:v>
      </x:c>
      <x:c r="D12" s="226" t="n">
        <x:f>'Assumptions'!D24*'Platform Catalog'!$G$12</x:f>
        <x:v>0</x:v>
      </x:c>
      <x:c r="E12" s="226" t="n">
        <x:f>'Assumptions'!E24*'Platform Catalog'!$G$12</x:f>
        <x:v>34.5975</x:v>
      </x:c>
      <x:c r="F12" s="226" t="n">
        <x:f>'Assumptions'!F24*'Platform Catalog'!$G$12</x:f>
        <x:v>34.5975</x:v>
      </x:c>
      <x:c r="G12" s="226" t="n">
        <x:f>'Assumptions'!G24*'Platform Catalog'!$G$12</x:f>
        <x:v>34.5975</x:v>
      </x:c>
      <x:c r="H12" s="226" t="n">
        <x:f>'Assumptions'!H24*'Platform Catalog'!$G$12</x:f>
        <x:v>34.5975</x:v>
      </x:c>
      <x:c r="I12" s="226" t="n">
        <x:f>'Assumptions'!I24*'Platform Catalog'!$G$12</x:f>
        <x:v>34.5975</x:v>
      </x:c>
      <x:c r="J12" s="226" t="n">
        <x:f>'Assumptions'!J24*'Platform Catalog'!$G$12</x:f>
        <x:v>34.5975</x:v>
      </x:c>
    </x:row>
    <x:row r="13" ht="15" hidden="0" customHeight="1">
      <x:c r="A13" s="197" t="str">
        <x:v>Supabase PITR</x:v>
      </x:c>
      <x:c r="B13" s="226" t="n">
        <x:f>'Assumptions'!B25*'Platform Catalog'!$G$13</x:f>
        <x:v>0</x:v>
      </x:c>
      <x:c r="C13" s="226" t="n">
        <x:f>'Assumptions'!C25*'Platform Catalog'!$G$13</x:f>
        <x:v>0</x:v>
      </x:c>
      <x:c r="D13" s="226" t="n">
        <x:f>'Assumptions'!D25*'Platform Catalog'!$G$13</x:f>
        <x:v>0</x:v>
      </x:c>
      <x:c r="E13" s="226" t="n">
        <x:f>'Assumptions'!E25*'Platform Catalog'!$G$13</x:f>
        <x:v>0</x:v>
      </x:c>
      <x:c r="F13" s="226" t="n">
        <x:f>'Assumptions'!F25*'Platform Catalog'!$G$13</x:f>
        <x:v>0</x:v>
      </x:c>
      <x:c r="G13" s="226" t="n">
        <x:f>'Assumptions'!G25*'Platform Catalog'!$G$13</x:f>
        <x:v>138.39</x:v>
      </x:c>
      <x:c r="H13" s="226" t="n">
        <x:f>'Assumptions'!H25*'Platform Catalog'!$G$13</x:f>
        <x:v>0</x:v>
      </x:c>
      <x:c r="I13" s="226" t="n">
        <x:f>'Assumptions'!I25*'Platform Catalog'!$G$13</x:f>
        <x:v>138.39</x:v>
      </x:c>
      <x:c r="J13" s="226" t="n">
        <x:f>'Assumptions'!J25*'Platform Catalog'!$G$13</x:f>
        <x:v>138.39</x:v>
      </x:c>
    </x:row>
    <x:row r="14" ht="15" hidden="0" customHeight="1">
      <x:c r="A14" s="197" t="str">
        <x:v>Clerk Enhanced B2B</x:v>
      </x:c>
      <x:c r="B14" s="226" t="n">
        <x:f>'Assumptions'!B26*'Platform Catalog'!$G$14</x:f>
        <x:v>0</x:v>
      </x:c>
      <x:c r="C14" s="226" t="n">
        <x:f>'Assumptions'!C26*'Platform Catalog'!$G$14</x:f>
        <x:v>0</x:v>
      </x:c>
      <x:c r="D14" s="226" t="n">
        <x:f>'Assumptions'!D26*'Platform Catalog'!$G$14</x:f>
        <x:v>0</x:v>
      </x:c>
      <x:c r="E14" s="226" t="n">
        <x:f>'Assumptions'!E26*'Platform Catalog'!$G$14</x:f>
        <x:v>0</x:v>
      </x:c>
      <x:c r="F14" s="226" t="n">
        <x:f>'Assumptions'!F26*'Platform Catalog'!$G$14</x:f>
        <x:v>117.63149999999999</x:v>
      </x:c>
      <x:c r="G14" s="226" t="n">
        <x:f>'Assumptions'!G26*'Platform Catalog'!$G$14</x:f>
        <x:v>117.63149999999999</x:v>
      </x:c>
      <x:c r="H14" s="226" t="n">
        <x:f>'Assumptions'!H26*'Platform Catalog'!$G$14</x:f>
        <x:v>117.63149999999999</x:v>
      </x:c>
      <x:c r="I14" s="226" t="n">
        <x:f>'Assumptions'!I26*'Platform Catalog'!$G$14</x:f>
        <x:v>117.63149999999999</x:v>
      </x:c>
      <x:c r="J14" s="226" t="n">
        <x:f>'Assumptions'!J26*'Platform Catalog'!$G$14</x:f>
        <x:v>117.63149999999999</x:v>
      </x:c>
    </x:row>
    <x:row r="15" ht="15" hidden="0" customHeight="1">
      <x:c r="A15" s="197" t="str">
        <x:v>Cloudflare Workers Paid</x:v>
      </x:c>
      <x:c r="B15" s="226" t="n">
        <x:f>'Assumptions'!B27*'Platform Catalog'!$G$15</x:f>
        <x:v>0</x:v>
      </x:c>
      <x:c r="C15" s="226" t="n">
        <x:f>'Assumptions'!C27*'Platform Catalog'!$G$15</x:f>
        <x:v>0</x:v>
      </x:c>
      <x:c r="D15" s="226" t="n">
        <x:f>'Assumptions'!D27*'Platform Catalog'!$G$15</x:f>
        <x:v>0</x:v>
      </x:c>
      <x:c r="E15" s="226" t="n">
        <x:f>'Assumptions'!E27*'Platform Catalog'!$G$15</x:f>
        <x:v>6.919499999999999</x:v>
      </x:c>
      <x:c r="F15" s="226" t="n">
        <x:f>'Assumptions'!F27*'Platform Catalog'!$G$15</x:f>
        <x:v>6.919499999999999</x:v>
      </x:c>
      <x:c r="G15" s="226" t="n">
        <x:f>'Assumptions'!G27*'Platform Catalog'!$G$15</x:f>
        <x:v>6.919499999999999</x:v>
      </x:c>
      <x:c r="H15" s="226" t="n">
        <x:f>'Assumptions'!H27*'Platform Catalog'!$G$15</x:f>
        <x:v>6.919499999999999</x:v>
      </x:c>
      <x:c r="I15" s="226" t="n">
        <x:f>'Assumptions'!I27*'Platform Catalog'!$G$15</x:f>
        <x:v>6.919499999999999</x:v>
      </x:c>
      <x:c r="J15" s="226" t="n">
        <x:f>'Assumptions'!J27*'Platform Catalog'!$G$15</x:f>
        <x:v>6.919499999999999</x:v>
      </x:c>
    </x:row>
    <x:row r="16" ht="15" hidden="0" customHeight="1">
      <x:c r="A16" s="197" t="str">
        <x:v>Langfuse Core</x:v>
      </x:c>
      <x:c r="B16" s="226" t="n">
        <x:f>'Assumptions'!B28*'Platform Catalog'!$G$16</x:f>
        <x:v>0</x:v>
      </x:c>
      <x:c r="C16" s="226" t="n">
        <x:f>'Assumptions'!C28*'Platform Catalog'!$G$16</x:f>
        <x:v>0</x:v>
      </x:c>
      <x:c r="D16" s="226" t="n">
        <x:f>'Assumptions'!D28*'Platform Catalog'!$G$16</x:f>
        <x:v>0</x:v>
      </x:c>
      <x:c r="E16" s="226" t="n">
        <x:f>'Assumptions'!E28*'Platform Catalog'!$G$16</x:f>
        <x:v>40.1331</x:v>
      </x:c>
      <x:c r="F16" s="226" t="n">
        <x:f>'Assumptions'!F28*'Platform Catalog'!$G$16</x:f>
        <x:v>40.1331</x:v>
      </x:c>
      <x:c r="G16" s="226" t="n">
        <x:f>'Assumptions'!G28*'Platform Catalog'!$G$16</x:f>
        <x:v>40.1331</x:v>
      </x:c>
      <x:c r="H16" s="226" t="n">
        <x:f>'Assumptions'!H28*'Platform Catalog'!$G$16</x:f>
        <x:v>40.1331</x:v>
      </x:c>
      <x:c r="I16" s="226" t="n">
        <x:f>'Assumptions'!I28*'Platform Catalog'!$G$16</x:f>
        <x:v>40.1331</x:v>
      </x:c>
      <x:c r="J16" s="226" t="n">
        <x:f>'Assumptions'!J28*'Platform Catalog'!$G$16</x:f>
        <x:v>0</x:v>
      </x:c>
    </x:row>
    <x:row r="17" ht="15" hidden="0" customHeight="1">
      <x:c r="A17" s="197" t="str">
        <x:v>Langfuse Pro</x:v>
      </x:c>
      <x:c r="B17" s="226" t="n">
        <x:f>'Assumptions'!B29*'Platform Catalog'!$G$17</x:f>
        <x:v>0</x:v>
      </x:c>
      <x:c r="C17" s="226" t="n">
        <x:f>'Assumptions'!C29*'Platform Catalog'!$G$17</x:f>
        <x:v>0</x:v>
      </x:c>
      <x:c r="D17" s="226" t="n">
        <x:f>'Assumptions'!D29*'Platform Catalog'!$G$17</x:f>
        <x:v>0</x:v>
      </x:c>
      <x:c r="E17" s="226" t="n">
        <x:f>'Assumptions'!E29*'Platform Catalog'!$G$17</x:f>
        <x:v>0</x:v>
      </x:c>
      <x:c r="F17" s="226" t="n">
        <x:f>'Assumptions'!F29*'Platform Catalog'!$G$17</x:f>
        <x:v>0</x:v>
      </x:c>
      <x:c r="G17" s="226" t="n">
        <x:f>'Assumptions'!G29*'Platform Catalog'!$G$17</x:f>
        <x:v>0</x:v>
      </x:c>
      <x:c r="H17" s="226" t="n">
        <x:f>'Assumptions'!H29*'Platform Catalog'!$G$17</x:f>
        <x:v>0</x:v>
      </x:c>
      <x:c r="I17" s="226" t="n">
        <x:f>'Assumptions'!I29*'Platform Catalog'!$G$17</x:f>
        <x:v>0</x:v>
      </x:c>
      <x:c r="J17" s="226" t="n">
        <x:f>'Assumptions'!J29*'Platform Catalog'!$G$17</x:f>
        <x:v>275.3961</x:v>
      </x:c>
    </x:row>
    <x:row r="18" ht="15" hidden="0" customHeight="1">
      <x:c r="A18" s="197" t="str">
        <x:v>Sentry Team</x:v>
      </x:c>
      <x:c r="B18" s="226" t="n">
        <x:f>'Assumptions'!B30*'Platform Catalog'!$G$18</x:f>
        <x:v>0</x:v>
      </x:c>
      <x:c r="C18" s="226" t="n">
        <x:f>'Assumptions'!C30*'Platform Catalog'!$G$18</x:f>
        <x:v>0</x:v>
      </x:c>
      <x:c r="D18" s="226" t="n">
        <x:f>'Assumptions'!D30*'Platform Catalog'!$G$18</x:f>
        <x:v>0</x:v>
      </x:c>
      <x:c r="E18" s="226" t="n">
        <x:f>'Assumptions'!E30*'Platform Catalog'!$G$18</x:f>
        <x:v>35.9814</x:v>
      </x:c>
      <x:c r="F18" s="226" t="n">
        <x:f>'Assumptions'!F30*'Platform Catalog'!$G$18</x:f>
        <x:v>35.9814</x:v>
      </x:c>
      <x:c r="G18" s="226" t="n">
        <x:f>'Assumptions'!G30*'Platform Catalog'!$G$18</x:f>
        <x:v>35.9814</x:v>
      </x:c>
      <x:c r="H18" s="226" t="n">
        <x:f>'Assumptions'!H30*'Platform Catalog'!$G$18</x:f>
        <x:v>35.9814</x:v>
      </x:c>
      <x:c r="I18" s="226" t="n">
        <x:f>'Assumptions'!I30*'Platform Catalog'!$G$18</x:f>
        <x:v>35.9814</x:v>
      </x:c>
      <x:c r="J18" s="226" t="n">
        <x:f>'Assumptions'!J30*'Platform Catalog'!$G$18</x:f>
        <x:v>0</x:v>
      </x:c>
    </x:row>
    <x:row r="19" ht="15" hidden="0" customHeight="1">
      <x:c r="A19" s="197" t="str">
        <x:v>Sentry Business</x:v>
      </x:c>
      <x:c r="B19" s="226" t="n">
        <x:f>'Assumptions'!B31*'Platform Catalog'!$G$19</x:f>
        <x:v>0</x:v>
      </x:c>
      <x:c r="C19" s="226" t="n">
        <x:f>'Assumptions'!C31*'Platform Catalog'!$G$19</x:f>
        <x:v>0</x:v>
      </x:c>
      <x:c r="D19" s="226" t="n">
        <x:f>'Assumptions'!D31*'Platform Catalog'!$G$19</x:f>
        <x:v>0</x:v>
      </x:c>
      <x:c r="E19" s="226" t="n">
        <x:f>'Assumptions'!E31*'Platform Catalog'!$G$19</x:f>
        <x:v>0</x:v>
      </x:c>
      <x:c r="F19" s="226" t="n">
        <x:f>'Assumptions'!F31*'Platform Catalog'!$G$19</x:f>
        <x:v>0</x:v>
      </x:c>
      <x:c r="G19" s="226" t="n">
        <x:f>'Assumptions'!G31*'Platform Catalog'!$G$19</x:f>
        <x:v>0</x:v>
      </x:c>
      <x:c r="H19" s="226" t="n">
        <x:f>'Assumptions'!H31*'Platform Catalog'!$G$19</x:f>
        <x:v>0</x:v>
      </x:c>
      <x:c r="I19" s="226" t="n">
        <x:f>'Assumptions'!I31*'Platform Catalog'!$G$19</x:f>
        <x:v>0</x:v>
      </x:c>
      <x:c r="J19" s="226" t="n">
        <x:f>'Assumptions'!J31*'Platform Catalog'!$G$19</x:f>
        <x:v>110.71199999999999</x:v>
      </x:c>
    </x:row>
    <x:row r="20" ht="15" hidden="0" customHeight="1">
      <x:c r="A20" s="200" t="str">
        <x:v>AI-agent model usage allowance</x:v>
      </x:c>
      <x:c r="B20" s="227" t="n">
        <x:f>'Assumptions'!B32*'Platform Catalog'!$G$20</x:f>
        <x:v>100</x:v>
      </x:c>
      <x:c r="C20" s="227" t="n">
        <x:f>'Assumptions'!C32*'Platform Catalog'!$G$20</x:f>
        <x:v>250</x:v>
      </x:c>
      <x:c r="D20" s="227" t="n">
        <x:f>'Assumptions'!D32*'Platform Catalog'!$G$20</x:f>
        <x:v>500</x:v>
      </x:c>
      <x:c r="E20" s="227" t="n">
        <x:f>'Assumptions'!E32*'Platform Catalog'!$G$20</x:f>
        <x:v>250</x:v>
      </x:c>
      <x:c r="F20" s="227" t="n">
        <x:f>'Assumptions'!F32*'Platform Catalog'!$G$20</x:f>
        <x:v>450</x:v>
      </x:c>
      <x:c r="G20" s="227" t="n">
        <x:f>'Assumptions'!G32*'Platform Catalog'!$G$20</x:f>
        <x:v>850</x:v>
      </x:c>
      <x:c r="H20" s="227" t="n">
        <x:f>'Assumptions'!H32*'Platform Catalog'!$G$20</x:f>
        <x:v>500</x:v>
      </x:c>
      <x:c r="I20" s="227" t="n">
        <x:f>'Assumptions'!I32*'Platform Catalog'!$G$20</x:f>
        <x:v>800</x:v>
      </x:c>
      <x:c r="J20" s="227" t="n">
        <x:f>'Assumptions'!J32*'Platform Catalog'!$G$20</x:f>
        <x:v>1500</x:v>
      </x:c>
    </x:row>
    <x:row r="21" ht="15" hidden="0" customHeight="1">
      <x:c r="A21" s="166"/>
      <x:c r="B21" s="166"/>
      <x:c r="C21" s="166"/>
      <x:c r="D21" s="166"/>
      <x:c r="E21" s="166"/>
      <x:c r="F21" s="166"/>
      <x:c r="G21" s="166"/>
      <x:c r="H21" s="166"/>
      <x:c r="I21" s="166"/>
      <x:c r="J21" s="166"/>
    </x:row>
    <x:row r="22" ht="15" hidden="0" customHeight="1">
      <x:c r="A22" s="189" t="str">
        <x:v>Software + agent usage</x:v>
      </x:c>
      <x:c r="B22" s="228" t="n">
        <x:f>SUM(B5:B20)</x:f>
        <x:v>225.9114</x:v>
      </x:c>
      <x:c r="C22" s="228" t="n">
        <x:f>SUM(C5:C20)</x:f>
        <x:v>488.02379999999994</x:v>
      </x:c>
      <x:c r="D22" s="228" t="n">
        <x:f>SUM(D5:D20)</x:f>
        <x:v>865.3426</x:v>
      </x:c>
      <x:c r="E22" s="228" t="n">
        <x:f>SUM(E5:E20)</x:f>
        <x:v>591.8163</x:v>
      </x:c>
      <x:c r="F22" s="228" t="n">
        <x:f>SUM(F5:F20)</x:f>
        <x:v>1022.9275999999999</x:v>
      </x:c>
      <x:c r="G22" s="228" t="n">
        <x:f>SUM(G5:G20)</x:f>
        <x:v>1788.2772</x:v>
      </x:c>
      <x:c r="H22" s="228" t="n">
        <x:f>SUM(H5:H20)</x:f>
        <x:v>996.8131</x:v>
      </x:c>
      <x:c r="I22" s="228" t="n">
        <x:f>SUM(I5:I20)</x:f>
        <x:v>1548.6828999999998</x:v>
      </x:c>
      <x:c r="J22" s="229" t="n">
        <x:f>SUM(J5:J20)</x:f>
        <x:v>3782.1528</x:v>
      </x:c>
    </x:row>
    <x:row r="23" ht="15" hidden="0" customHeight="1">
      <x:c r="A23" s="166"/>
      <x:c r="B23" s="166"/>
      <x:c r="C23" s="166"/>
      <x:c r="D23" s="166"/>
      <x:c r="E23" s="166"/>
      <x:c r="F23" s="166"/>
      <x:c r="G23" s="166"/>
      <x:c r="H23" s="166"/>
      <x:c r="I23" s="166"/>
      <x:c r="J23" s="166"/>
    </x:row>
    <x:row r="24" ht="15" hidden="0" customHeight="1">
      <x:c r="A24" s="195" t="str">
        <x:v>Active clients</x:v>
      </x:c>
      <x:c r="B24" s="230" t="n">
        <x:f>'Assumptions'!B$13</x:f>
        <x:v>1</x:v>
      </x:c>
      <x:c r="C24" s="230" t="n">
        <x:f>'Assumptions'!C$13</x:f>
        <x:v>5</x:v>
      </x:c>
      <x:c r="D24" s="230" t="n">
        <x:f>'Assumptions'!D$13</x:f>
        <x:v>15</x:v>
      </x:c>
      <x:c r="E24" s="230" t="n">
        <x:f>'Assumptions'!E$13</x:f>
        <x:v>1</x:v>
      </x:c>
      <x:c r="F24" s="230" t="n">
        <x:f>'Assumptions'!F$13</x:f>
        <x:v>5</x:v>
      </x:c>
      <x:c r="G24" s="230" t="n">
        <x:f>'Assumptions'!G$13</x:f>
        <x:v>15</x:v>
      </x:c>
      <x:c r="H24" s="230" t="n">
        <x:f>'Assumptions'!H$13</x:f>
        <x:v>1</x:v>
      </x:c>
      <x:c r="I24" s="230" t="n">
        <x:f>'Assumptions'!I$13</x:f>
        <x:v>5</x:v>
      </x:c>
      <x:c r="J24" s="230" t="n">
        <x:f>'Assumptions'!J$13</x:f>
        <x:v>15</x:v>
      </x:c>
    </x:row>
    <x:row r="25" ht="15" hidden="0" customHeight="1">
      <x:c r="A25" s="197" t="str">
        <x:v>Base maintenance hours</x:v>
      </x:c>
      <x:c r="B25" s="231" t="n">
        <x:f>'Assumptions'!$B$37</x:f>
        <x:v>4</x:v>
      </x:c>
      <x:c r="C25" s="231" t="n">
        <x:f>'Assumptions'!$B$37</x:f>
        <x:v>4</x:v>
      </x:c>
      <x:c r="D25" s="231" t="n">
        <x:f>'Assumptions'!$B$37</x:f>
        <x:v>4</x:v>
      </x:c>
      <x:c r="E25" s="231" t="n">
        <x:f>'Assumptions'!$B$38</x:f>
        <x:v>10</x:v>
      </x:c>
      <x:c r="F25" s="231" t="n">
        <x:f>'Assumptions'!$B$38</x:f>
        <x:v>10</x:v>
      </x:c>
      <x:c r="G25" s="231" t="n">
        <x:f>'Assumptions'!$B$38</x:f>
        <x:v>10</x:v>
      </x:c>
      <x:c r="H25" s="231" t="n">
        <x:f>'Assumptions'!$B$39</x:f>
        <x:v>24</x:v>
      </x:c>
      <x:c r="I25" s="231" t="n">
        <x:f>'Assumptions'!$B$39</x:f>
        <x:v>24</x:v>
      </x:c>
      <x:c r="J25" s="231" t="n">
        <x:f>'Assumptions'!$B$39</x:f>
        <x:v>24</x:v>
      </x:c>
    </x:row>
    <x:row r="26" ht="15" hidden="0" customHeight="1">
      <x:c r="A26" s="197" t="str">
        <x:v>Client-variable maintenance hours</x:v>
      </x:c>
      <x:c r="B26" s="231" t="n">
        <x:f>B24*'Assumptions'!$C$37</x:f>
        <x:v>1</x:v>
      </x:c>
      <x:c r="C26" s="231" t="n">
        <x:f>C24*'Assumptions'!$C$37</x:f>
        <x:v>5</x:v>
      </x:c>
      <x:c r="D26" s="231" t="n">
        <x:f>D24*'Assumptions'!$C$37</x:f>
        <x:v>15</x:v>
      </x:c>
      <x:c r="E26" s="231" t="n">
        <x:f>E24*'Assumptions'!$C$38</x:f>
        <x:v>1.25</x:v>
      </x:c>
      <x:c r="F26" s="231" t="n">
        <x:f>F24*'Assumptions'!$C$38</x:f>
        <x:v>6.25</x:v>
      </x:c>
      <x:c r="G26" s="231" t="n">
        <x:f>G24*'Assumptions'!$C$38</x:f>
        <x:v>18.75</x:v>
      </x:c>
      <x:c r="H26" s="231" t="n">
        <x:f>H24*'Assumptions'!$C$39</x:f>
        <x:v>2</x:v>
      </x:c>
      <x:c r="I26" s="231" t="n">
        <x:f>I24*'Assumptions'!$C$39</x:f>
        <x:v>10</x:v>
      </x:c>
      <x:c r="J26" s="231" t="n">
        <x:f>J24*'Assumptions'!$C$39</x:f>
        <x:v>30</x:v>
      </x:c>
    </x:row>
    <x:row r="27" ht="15" hidden="0" customHeight="1">
      <x:c r="A27" s="197" t="str">
        <x:v>Total maintenance hours</x:v>
      </x:c>
      <x:c r="B27" s="231" t="n">
        <x:f>B25+B26</x:f>
        <x:v>5</x:v>
      </x:c>
      <x:c r="C27" s="231" t="n">
        <x:f>C25+C26</x:f>
        <x:v>9</x:v>
      </x:c>
      <x:c r="D27" s="231" t="n">
        <x:f>D25+D26</x:f>
        <x:v>19</x:v>
      </x:c>
      <x:c r="E27" s="231" t="n">
        <x:f>E25+E26</x:f>
        <x:v>11.25</x:v>
      </x:c>
      <x:c r="F27" s="231" t="n">
        <x:f>F25+F26</x:f>
        <x:v>16.25</x:v>
      </x:c>
      <x:c r="G27" s="231" t="n">
        <x:f>G25+G26</x:f>
        <x:v>28.75</x:v>
      </x:c>
      <x:c r="H27" s="231" t="n">
        <x:f>H25+H26</x:f>
        <x:v>26</x:v>
      </x:c>
      <x:c r="I27" s="231" t="n">
        <x:f>I25+I26</x:f>
        <x:v>34</x:v>
      </x:c>
      <x:c r="J27" s="231" t="n">
        <x:f>J25+J26</x:f>
        <x:v>54</x:v>
      </x:c>
    </x:row>
    <x:row r="28" ht="15" hidden="0" customHeight="1">
      <x:c r="A28" s="197" t="str">
        <x:v>Maintenance labour cost</x:v>
      </x:c>
      <x:c r="B28" s="226" t="n">
        <x:f>B27*'Assumptions'!$B$9</x:f>
        <x:v>750</x:v>
      </x:c>
      <x:c r="C28" s="226" t="n">
        <x:f>C27*'Assumptions'!$B$9</x:f>
        <x:v>1350</x:v>
      </x:c>
      <x:c r="D28" s="226" t="n">
        <x:f>D27*'Assumptions'!$B$9</x:f>
        <x:v>2850</x:v>
      </x:c>
      <x:c r="E28" s="226" t="n">
        <x:f>E27*'Assumptions'!$B$9</x:f>
        <x:v>1687.5</x:v>
      </x:c>
      <x:c r="F28" s="226" t="n">
        <x:f>F27*'Assumptions'!$B$9</x:f>
        <x:v>2437.5</x:v>
      </x:c>
      <x:c r="G28" s="226" t="n">
        <x:f>G27*'Assumptions'!$B$9</x:f>
        <x:v>4312.5</x:v>
      </x:c>
      <x:c r="H28" s="226" t="n">
        <x:f>H27*'Assumptions'!$B$9</x:f>
        <x:v>3900</x:v>
      </x:c>
      <x:c r="I28" s="226" t="n">
        <x:f>I27*'Assumptions'!$B$9</x:f>
        <x:v>5100</x:v>
      </x:c>
      <x:c r="J28" s="226" t="n">
        <x:f>J27*'Assumptions'!$B$9</x:f>
        <x:v>8100</x:v>
      </x:c>
    </x:row>
    <x:row r="29" ht="15" hidden="0" customHeight="1">
      <x:c r="A29" s="232" t="str">
        <x:v>Monthly operating TCO</x:v>
      </x:c>
      <x:c r="B29" s="233" t="n">
        <x:f>B22+B28</x:f>
        <x:v>975.9114</x:v>
      </x:c>
      <x:c r="C29" s="233" t="n">
        <x:f>C22+C28</x:f>
        <x:v>1838.0238</x:v>
      </x:c>
      <x:c r="D29" s="233" t="n">
        <x:f>D22+D28</x:f>
        <x:v>3715.3426</x:v>
      </x:c>
      <x:c r="E29" s="233" t="n">
        <x:f>E22+E28</x:f>
        <x:v>2279.3163</x:v>
      </x:c>
      <x:c r="F29" s="233" t="n">
        <x:f>F22+F28</x:f>
        <x:v>3460.4276</x:v>
      </x:c>
      <x:c r="G29" s="233" t="n">
        <x:f>G22+G28</x:f>
        <x:v>6100.7772</x:v>
      </x:c>
      <x:c r="H29" s="233" t="n">
        <x:f>H22+H28</x:f>
        <x:v>4896.8131</x:v>
      </x:c>
      <x:c r="I29" s="233" t="n">
        <x:f>I22+I28</x:f>
        <x:v>6648.6829</x:v>
      </x:c>
      <x:c r="J29" s="234" t="n">
        <x:f>J22+J28</x:f>
        <x:v>11882.1528</x:v>
      </x:c>
    </x:row>
    <x:row r="30" ht="15" hidden="0" customHeight="1">
      <x:c r="A30" s="235" t="str">
        <x:v>Monthly TCO / active client</x:v>
      </x:c>
      <x:c r="B30" s="236" t="n">
        <x:f>IF(B24=0,0,B29/B24)</x:f>
        <x:v>975.9114</x:v>
      </x:c>
      <x:c r="C30" s="236" t="n">
        <x:f>IF(C24=0,0,C29/C24)</x:f>
        <x:v>367.60476</x:v>
      </x:c>
      <x:c r="D30" s="236" t="n">
        <x:f>IF(D24=0,0,D29/D24)</x:f>
        <x:v>247.68950666666666</x:v>
      </x:c>
      <x:c r="E30" s="236" t="n">
        <x:f>IF(E24=0,0,E29/E24)</x:f>
        <x:v>2279.3163</x:v>
      </x:c>
      <x:c r="F30" s="236" t="n">
        <x:f>IF(F24=0,0,F29/F24)</x:f>
        <x:v>692.08552</x:v>
      </x:c>
      <x:c r="G30" s="236" t="n">
        <x:f>IF(G24=0,0,G29/G24)</x:f>
        <x:v>406.71848000000006</x:v>
      </x:c>
      <x:c r="H30" s="236" t="n">
        <x:f>IF(H24=0,0,H29/H24)</x:f>
        <x:v>4896.8131</x:v>
      </x:c>
      <x:c r="I30" s="236" t="n">
        <x:f>IF(I24=0,0,I29/I24)</x:f>
        <x:v>1329.73658</x:v>
      </x:c>
      <x:c r="J30" s="237" t="n">
        <x:f>IF(J24=0,0,J29/J24)</x:f>
        <x:v>792.14352</x:v>
      </x:c>
    </x:row>
    <x:row r="31" ht="15" hidden="0" customHeight="1">
      <x:c r="A31" s="238" t="str">
        <x:v>Annual operating TCO</x:v>
      </x:c>
      <x:c r="B31" s="239" t="n">
        <x:f>B29*12</x:f>
        <x:v>11710.9368</x:v>
      </x:c>
      <x:c r="C31" s="239" t="n">
        <x:f>C29*12</x:f>
        <x:v>22056.2856</x:v>
      </x:c>
      <x:c r="D31" s="239" t="n">
        <x:f>D29*12</x:f>
        <x:v>44584.1112</x:v>
      </x:c>
      <x:c r="E31" s="239" t="n">
        <x:f>E29*12</x:f>
        <x:v>27351.795599999998</x:v>
      </x:c>
      <x:c r="F31" s="239" t="n">
        <x:f>F29*12</x:f>
        <x:v>41525.1312</x:v>
      </x:c>
      <x:c r="G31" s="239" t="n">
        <x:f>G29*12</x:f>
        <x:v>73209.3264</x:v>
      </x:c>
      <x:c r="H31" s="239" t="n">
        <x:f>H29*12</x:f>
        <x:v>58761.75720000001</x:v>
      </x:c>
      <x:c r="I31" s="239" t="n">
        <x:f>I29*12</x:f>
        <x:v>79784.1948</x:v>
      </x:c>
      <x:c r="J31" s="240" t="n">
        <x:f>J29*12</x:f>
        <x:v>142585.8336</x:v>
      </x:c>
    </x:row>
    <x:row r="32" ht="15" hidden="0" customHeight="1">
      <x:c r="A32" s="200" t="str">
        <x:v>Software share of TCO</x:v>
      </x:c>
      <x:c r="B32" s="241" t="n">
        <x:f>IF(B29=0,0,B22/B29)</x:f>
        <x:v>0.2314876125025284</x:v>
      </x:c>
      <x:c r="C32" s="241" t="n">
        <x:f>IF(C29=0,0,C22/C29)</x:f>
        <x:v>0.2655154955012008</x:v>
      </x:c>
      <x:c r="D32" s="241" t="n">
        <x:f>IF(D29=0,0,D22/D29)</x:f>
        <x:v>0.2329105800364144</x:v>
      </x:c>
      <x:c r="E32" s="241" t="n">
        <x:f>IF(E29=0,0,E22/E29)</x:f>
        <x:v>0.2596464123912947</x:v>
      </x:c>
      <x:c r="F32" s="241" t="n">
        <x:f>IF(F29=0,0,F22/F29)</x:f>
        <x:v>0.29560728275314874</x:v>
      </x:c>
      <x:c r="G32" s="241" t="n">
        <x:f>IF(G29=0,0,G22/G29)</x:f>
        <x:v>0.2931228499870475</x:v>
      </x:c>
      <x:c r="H32" s="241" t="n">
        <x:f>IF(H29=0,0,H22/H29)</x:f>
        <x:v>0.20356364019692724</x:v>
      </x:c>
      <x:c r="I32" s="241" t="n">
        <x:f>IF(I29=0,0,I22/I29)</x:f>
        <x:v>0.23293078092203792</x:v>
      </x:c>
      <x:c r="J32" s="241" t="n">
        <x:f>IF(J29=0,0,J22/J29)</x:f>
        <x:v>0.3183053495154514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50" hidden="0" customWidth="1"/>
  </x:cols>
  <x:sheetData>
    <x:row r="1" ht="15" hidden="0" customHeight="1">
      <x:c r="A1" s="250" t="str">
        <x:v>One-Time Build Cost</x:v>
      </x:c>
      <x:c r="B1" s="250" t="str">
        <x:v>One-Time Build Cost</x:v>
      </x:c>
      <x:c r="C1" s="250" t="str">
        <x:v>One-Time Build Cost</x:v>
      </x:c>
      <x:c r="D1" s="250" t="str">
        <x:v>One-Time Build Cost</x:v>
      </x:c>
      <x:c r="E1" s="250" t="str">
        <x:v>One-Time Build Cost</x:v>
      </x:c>
      <x:c r="F1" s="250" t="str">
        <x:v>One-Time Build Cost</x:v>
      </x:c>
      <x:c r="G1" s="250" t="str">
        <x:v>One-Time Build Cost</x:v>
      </x:c>
      <x:c r="H1" s="250" t="str">
        <x:v>One-Time Build Cost</x:v>
      </x:c>
    </x:row>
    <x:row r="2" ht="15" hidden="0" customHeight="1">
      <x:c r="A2" s="165" t="str">
        <x:v>Midpoint planning estimates. Ranges in the operating blueprint are more honest than a single estimate; this sheet exposes the midpoint mechanics.</x:v>
      </x:c>
      <x:c r="B2" s="165" t="str">
        <x:v>Midpoint planning estimates. Ranges in the operating blueprint are more honest than a single estimate; this sheet exposes the midpoint mechanics.</x:v>
      </x:c>
      <x:c r="C2" s="165" t="str">
        <x:v>Midpoint planning estimates. Ranges in the operating blueprint are more honest than a single estimate; this sheet exposes the midpoint mechanics.</x:v>
      </x:c>
      <x:c r="D2" s="165" t="str">
        <x:v>Midpoint planning estimates. Ranges in the operating blueprint are more honest than a single estimate; this sheet exposes the midpoint mechanics.</x:v>
      </x:c>
      <x:c r="E2" s="165" t="str">
        <x:v>Midpoint planning estimates. Ranges in the operating blueprint are more honest than a single estimate; this sheet exposes the midpoint mechanics.</x:v>
      </x:c>
      <x:c r="F2" s="165" t="str">
        <x:v>Midpoint planning estimates. Ranges in the operating blueprint are more honest than a single estimate; this sheet exposes the midpoint mechanics.</x:v>
      </x:c>
      <x:c r="G2" s="165" t="str">
        <x:v>Midpoint planning estimates. Ranges in the operating blueprint are more honest than a single estimate; this sheet exposes the midpoint mechanics.</x:v>
      </x:c>
      <x:c r="H2" s="165" t="str">
        <x:v>Midpoint planning estimates. Ranges in the operating blueprint are more honest than a single estimate; this sheet exposes the midpoint mechanics.</x:v>
      </x:c>
    </x:row>
    <x:row r="3" ht="15" hidden="0" customHeight="1">
      <x:c r="A3" s="166"/>
      <x:c r="B3" s="166"/>
      <x:c r="C3" s="166"/>
      <x:c r="D3" s="166"/>
      <x:c r="E3" s="166"/>
      <x:c r="F3" s="166"/>
      <x:c r="G3" s="166"/>
      <x:c r="H3" s="166"/>
    </x:row>
    <x:row r="4" ht="24" hidden="0" customHeight="1">
      <x:c r="A4" s="167" t="str">
        <x:v>Option</x:v>
      </x:c>
      <x:c r="B4" s="168" t="str">
        <x:v>Build hours</x:v>
      </x:c>
      <x:c r="C4" s="168" t="str">
        <x:v>Rate / hour</x:v>
      </x:c>
      <x:c r="D4" s="168" t="str">
        <x:v>Engineering</x:v>
      </x:c>
      <x:c r="E4" s="168" t="str">
        <x:v>External hardening</x:v>
      </x:c>
      <x:c r="F4" s="168" t="str">
        <x:v>One-time total</x:v>
      </x:c>
      <x:c r="G4" s="168" t="str">
        <x:v>Within $50K experiment ceiling?</x:v>
      </x:c>
      <x:c r="H4" s="169" t="str">
        <x:v>Interpretation</x:v>
      </x:c>
    </x:row>
    <x:row r="5" ht="24" hidden="0" customHeight="1">
      <x:c r="A5" s="195" t="str">
        <x:v>Core managed AI SaaS</x:v>
      </x:c>
      <x:c r="B5" s="242" t="n">
        <x:f>'Assumptions'!$D$37</x:f>
        <x:v>40</x:v>
      </x:c>
      <x:c r="C5" s="225" t="n">
        <x:f>'Assumptions'!$B$9</x:f>
        <x:v>150</x:v>
      </x:c>
      <x:c r="D5" s="225" t="n">
        <x:f>B5*C5</x:f>
        <x:v>6000</x:v>
      </x:c>
      <x:c r="E5" s="225" t="n">
        <x:f>'Assumptions'!$E$37</x:f>
        <x:v>2000</x:v>
      </x:c>
      <x:c r="F5" s="225" t="n">
        <x:f>D5+E5</x:f>
        <x:v>8000</x:v>
      </x:c>
      <x:c r="G5" s="195" t="str">
        <x:f>IF(F5&lt;='Assumptions'!$B$10,"YES","NO")</x:f>
        <x:v>YES</x:v>
      </x:c>
      <x:c r="H5" s="186" t="str">
        <x:v>Freshdesk client support, Hudu operating records, 1Password access, native vendor admin/cost reports and a lightweight register.</x:v>
      </x:c>
    </x:row>
    <x:row r="6" ht="24" hidden="0" customHeight="1">
      <x:c r="A6" s="197" t="str">
        <x:v>Hybrid SaaS control platform</x:v>
      </x:c>
      <x:c r="B6" s="243" t="n">
        <x:f>'Assumptions'!$D$38</x:f>
        <x:v>240</x:v>
      </x:c>
      <x:c r="C6" s="226" t="n">
        <x:f>'Assumptions'!$B$9</x:f>
        <x:v>150</x:v>
      </x:c>
      <x:c r="D6" s="226" t="n">
        <x:f>B6*C6</x:f>
        <x:v>36000</x:v>
      </x:c>
      <x:c r="E6" s="226" t="n">
        <x:f>'Assumptions'!$E$38</x:f>
        <x:v>8000</x:v>
      </x:c>
      <x:c r="F6" s="226" t="n">
        <x:f>D6+E6</x:f>
        <x:v>44000</x:v>
      </x:c>
      <x:c r="G6" s="197" t="str">
        <x:f>IF(F6&lt;='Assumptions'!$B$10,"YES","NO")</x:f>
        <x:v>YES</x:v>
      </x:c>
      <x:c r="H6" s="187" t="str">
        <x:v>Adds normalized ledger, approval policy, B2B identity, branded portal and verified SaaS-administration actions.</x:v>
      </x:c>
    </x:row>
    <x:row r="7" ht="24" hidden="0" customHeight="1">
      <x:c r="A7" s="200" t="str">
        <x:v>Advanced AI workload platform</x:v>
      </x:c>
      <x:c r="B7" s="244" t="n">
        <x:f>'Assumptions'!$D$39</x:f>
        <x:v>750</x:v>
      </x:c>
      <x:c r="C7" s="227" t="n">
        <x:f>'Assumptions'!$B$9</x:f>
        <x:v>150</x:v>
      </x:c>
      <x:c r="D7" s="227" t="n">
        <x:f>B7*C7</x:f>
        <x:v>112500</x:v>
      </x:c>
      <x:c r="E7" s="227" t="n">
        <x:f>'Assumptions'!$E$39</x:f>
        <x:v>20000</x:v>
      </x:c>
      <x:c r="F7" s="227" t="n">
        <x:f>D7+E7</x:f>
        <x:v>132500</x:v>
      </x:c>
      <x:c r="G7" s="200" t="str">
        <x:f>IF(F7&lt;='Assumptions'!$B$10,"YES","NO")</x:f>
        <x:v>NO</x:v>
      </x:c>
      <x:c r="H7" s="188" t="str">
        <x:v>Adds hosted/data/custom AI workloads, application and model observability, connector framework and production hardening.</x:v>
      </x:c>
    </x:row>
    <x:row r="8" ht="15" hidden="0" customHeight="1">
      <x:c r="A8" s="166"/>
      <x:c r="B8" s="166"/>
      <x:c r="C8" s="166"/>
      <x:c r="D8" s="166"/>
      <x:c r="E8" s="166"/>
      <x:c r="F8" s="166"/>
      <x:c r="G8" s="166"/>
      <x:c r="H8" s="166"/>
    </x:row>
    <x:row r="9" ht="15" hidden="0" customHeight="1">
      <x:c r="A9" s="166"/>
      <x:c r="B9" s="166"/>
      <x:c r="C9" s="166"/>
      <x:c r="D9" s="166"/>
      <x:c r="E9" s="166"/>
      <x:c r="F9" s="166"/>
      <x:c r="G9" s="166"/>
      <x:c r="H9" s="166"/>
    </x:row>
    <x:row r="10" ht="15" hidden="0" customHeight="1">
      <x:c r="A10" s="167" t="str">
        <x:v>Estimate range</x:v>
      </x:c>
      <x:c r="B10" s="168" t="str">
        <x:v>Core managed AI SaaS</x:v>
      </x:c>
      <x:c r="C10" s="168" t="str">
        <x:v>Hybrid SaaS platform</x:v>
      </x:c>
      <x:c r="D10" s="169" t="str">
        <x:v>Advanced AI workloads</x:v>
      </x:c>
      <x:c r="E10" s="166"/>
      <x:c r="F10" s="166"/>
      <x:c r="G10" s="166"/>
      <x:c r="H10" s="166"/>
    </x:row>
    <x:row r="11" ht="15" hidden="0" customHeight="1">
      <x:c r="A11" s="186" t="str">
        <x:v>Practical implementation range</x:v>
      </x:c>
      <x:c r="B11" s="186" t="str">
        <x:v>$5K–$12K</x:v>
      </x:c>
      <x:c r="C11" s="186" t="str">
        <x:v>$30K–$60K</x:v>
      </x:c>
      <x:c r="D11" s="186" t="str">
        <x:v>$90K–$180K+</x:v>
      </x:c>
      <x:c r="E11" s="166"/>
      <x:c r="F11" s="166"/>
      <x:c r="G11" s="166"/>
      <x:c r="H11" s="166"/>
    </x:row>
    <x:row r="12" ht="15" hidden="0" customHeight="1">
      <x:c r="A12" s="187" t="str">
        <x:v>Likely calendar time</x:v>
      </x:c>
      <x:c r="B12" s="187" t="str">
        <x:v>2–4 weeks</x:v>
      </x:c>
      <x:c r="C12" s="187" t="str">
        <x:v>8–16 weeks</x:v>
      </x:c>
      <x:c r="D12" s="187" t="str">
        <x:v>5–9 months</x:v>
      </x:c>
      <x:c r="E12" s="166"/>
      <x:c r="F12" s="166"/>
      <x:c r="G12" s="166"/>
      <x:c r="H12" s="166"/>
    </x:row>
    <x:row r="13" ht="36" hidden="0" customHeight="1">
      <x:c r="A13" s="187" t="str">
        <x:v>Primary uncertainty</x:v>
      </x:c>
      <x:c r="B13" s="187" t="str">
        <x:v>Vendor admin exports, billing rail and MSP support seam</x:v>
      </x:c>
      <x:c r="C13" s="187" t="str">
        <x:v>Authorization and connector depth</x:v>
      </x:c>
      <x:c r="D13" s="187" t="str">
        <x:v>Security, tenancy, data/model operations and connector support</x:v>
      </x:c>
      <x:c r="E13" s="166"/>
      <x:c r="F13" s="166"/>
      <x:c r="G13" s="166"/>
      <x:c r="H13" s="166"/>
    </x:row>
    <x:row r="14" ht="24" hidden="0" customHeight="1">
      <x:c r="A14" s="188" t="str">
        <x:v>Funding logic</x:v>
      </x:c>
      <x:c r="B14" s="188" t="str">
        <x:v>Can fit current budget</x:v>
      </x:c>
      <x:c r="C14" s="188" t="str">
        <x:v>Fits only with tight scope or upper budget</x:v>
      </x:c>
      <x:c r="D14" s="188" t="str">
        <x:v>Anchor-funded or later-stage capital</x:v>
      </x:c>
      <x:c r="E14" s="166"/>
      <x:c r="F14" s="166"/>
      <x:c r="G14" s="166"/>
      <x:c r="H14" s="166"/>
    </x:row>
  </x:sheetData>
  <x:mergeCells>
    <x:mergeCell ref="A1:H1"/>
    <x:mergeCell ref="A2:H2"/>
  </x:mergeCells>
  <x:conditionalFormatting sqref="G5:G7">
    <x:cfRule type="containsText" dxfId="0" priority="1" operator="containsText" text="YES"/>
    <x:cfRule type="containsText" dxfId="1" priority="2" operator="containsText" text="NO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50" hidden="0" customWidth="1"/>
    <x:col min="8" max="8" width="45" hidden="0" customWidth="1"/>
  </x:cols>
  <x:sheetData>
    <x:row r="1" ht="15" hidden="0" customHeight="1">
      <x:c r="A1" s="250" t="str">
        <x:v>Sources and Refresh Register</x:v>
      </x:c>
      <x:c r="B1" s="250" t="str">
        <x:v>Sources and Refresh Register</x:v>
      </x:c>
      <x:c r="C1" s="250" t="str">
        <x:v>Sources and Refresh Register</x:v>
      </x:c>
      <x:c r="D1" s="250" t="str">
        <x:v>Sources and Refresh Register</x:v>
      </x:c>
      <x:c r="E1" s="250" t="str">
        <x:v>Sources and Refresh Register</x:v>
      </x:c>
      <x:c r="F1" s="250" t="str">
        <x:v>Sources and Refresh Register</x:v>
      </x:c>
      <x:c r="G1" s="250" t="str">
        <x:v>Sources and Refresh Register</x:v>
      </x:c>
      <x:c r="H1" s="250" t="str">
        <x:v>Sources and Refresh Register</x:v>
      </x:c>
    </x:row>
    <x:row r="2" ht="15" hidden="0" customHeight="1">
      <x:c r="A2" s="165" t="str">
        <x:v>Vendor prices change. Refresh public list prices and obtain commercial quotes before any platform commitment.</x:v>
      </x:c>
      <x:c r="B2" s="165" t="str">
        <x:v>Vendor prices change. Refresh public list prices and obtain commercial quotes before any platform commitment.</x:v>
      </x:c>
      <x:c r="C2" s="165" t="str">
        <x:v>Vendor prices change. Refresh public list prices and obtain commercial quotes before any platform commitment.</x:v>
      </x:c>
      <x:c r="D2" s="165" t="str">
        <x:v>Vendor prices change. Refresh public list prices and obtain commercial quotes before any platform commitment.</x:v>
      </x:c>
      <x:c r="E2" s="165" t="str">
        <x:v>Vendor prices change. Refresh public list prices and obtain commercial quotes before any platform commitment.</x:v>
      </x:c>
      <x:c r="F2" s="165" t="str">
        <x:v>Vendor prices change. Refresh public list prices and obtain commercial quotes before any platform commitment.</x:v>
      </x:c>
      <x:c r="G2" s="165" t="str">
        <x:v>Vendor prices change. Refresh public list prices and obtain commercial quotes before any platform commitment.</x:v>
      </x:c>
      <x:c r="H2" s="165" t="str">
        <x:v>Vendor prices change. Refresh public list prices and obtain commercial quotes before any platform commitment.</x:v>
      </x:c>
    </x:row>
    <x:row r="3" ht="15" hidden="0" customHeight="1">
      <x:c r="A3" s="166"/>
      <x:c r="B3" s="166"/>
      <x:c r="C3" s="166"/>
      <x:c r="D3" s="166"/>
      <x:c r="E3" s="166"/>
      <x:c r="F3" s="166"/>
      <x:c r="G3" s="166"/>
      <x:c r="H3" s="166"/>
    </x:row>
    <x:row r="4" ht="15" hidden="0" customHeight="1">
      <x:c r="A4" s="167" t="str">
        <x:v>Item</x:v>
      </x:c>
      <x:c r="B4" s="168" t="str">
        <x:v>Value used</x:v>
      </x:c>
      <x:c r="C4" s="168" t="str">
        <x:v>Units</x:v>
      </x:c>
      <x:c r="D4" s="168" t="str">
        <x:v>As of</x:v>
      </x:c>
      <x:c r="E4" s="168" t="str">
        <x:v>Source type</x:v>
      </x:c>
      <x:c r="F4" s="168" t="str">
        <x:v>Source name</x:v>
      </x:c>
      <x:c r="G4" s="168" t="str">
        <x:v>URL / reference</x:v>
      </x:c>
      <x:c r="H4" s="169" t="str">
        <x:v>Notes</x:v>
      </x:c>
    </x:row>
    <x:row r="5" ht="15" hidden="0" customHeight="1">
      <x:c r="A5" s="186" t="str">
        <x:v>USD/CAD</x:v>
      </x:c>
      <x:c r="B5" s="245" t="n">
        <x:v>1.3839</x:v>
      </x:c>
      <x:c r="C5" s="186" t="str">
        <x:v>CAD per USD</x:v>
      </x:c>
      <x:c r="D5" s="186" t="str">
        <x:v>2026-08-25</x:v>
      </x:c>
      <x:c r="E5" s="186" t="str">
        <x:v>Primary</x:v>
      </x:c>
      <x:c r="F5" s="186" t="str">
        <x:v>Bank of Canada</x:v>
      </x:c>
      <x:c r="G5" s="186" t="str">
        <x:v>https://www.bankofcanada.ca/rates/exchange/daily-exchange-rates/</x:v>
      </x:c>
      <x:c r="H5" s="186" t="str">
        <x:v>Indicative daily rate</x:v>
      </x:c>
    </x:row>
    <x:row r="6" ht="15" hidden="0" customHeight="1">
      <x:c r="A6" s="187" t="str">
        <x:v>EUR/CAD</x:v>
      </x:c>
      <x:c r="B6" s="246" t="n">
        <x:v>1.6151</x:v>
      </x:c>
      <x:c r="C6" s="187" t="str">
        <x:v>CAD per EUR</x:v>
      </x:c>
      <x:c r="D6" s="187" t="str">
        <x:v>2026-08-25</x:v>
      </x:c>
      <x:c r="E6" s="187" t="str">
        <x:v>Primary</x:v>
      </x:c>
      <x:c r="F6" s="187" t="str">
        <x:v>Bank of Canada</x:v>
      </x:c>
      <x:c r="G6" s="187" t="str">
        <x:v>https://www.bankofcanada.ca/rates/exchange/daily-exchange-rates/</x:v>
      </x:c>
      <x:c r="H6" s="187" t="str">
        <x:v>Indicative daily rate</x:v>
      </x:c>
    </x:row>
    <x:row r="7" ht="24" hidden="0" customHeight="1">
      <x:c r="A7" s="187" t="str">
        <x:v>Freshdesk</x:v>
      </x:c>
      <x:c r="B7" s="187" t="str">
        <x:v>USD 19 Growth; USD 55 Pro</x:v>
      </x:c>
      <x:c r="C7" s="187" t="str">
        <x:v>per agent/month annual</x:v>
      </x:c>
      <x:c r="D7" s="187" t="str">
        <x:v>2026-08-26</x:v>
      </x:c>
      <x:c r="E7" s="187" t="str">
        <x:v>Primary</x:v>
      </x:c>
      <x:c r="F7" s="187" t="str">
        <x:v>Freshworks</x:v>
      </x:c>
      <x:c r="G7" s="187" t="str">
        <x:v>https://www.freshworks.com/freshdesk/pricing/</x:v>
      </x:c>
      <x:c r="H7" s="187" t="str">
        <x:v>Client-facing ticketing/portal; enterprise and MSP commercial terms require quote</x:v>
      </x:c>
    </x:row>
    <x:row r="8" ht="15" hidden="0" customHeight="1">
      <x:c r="A8" s="187" t="str">
        <x:v>Hudu</x:v>
      </x:c>
      <x:c r="B8" s="187" t="str">
        <x:v>USD 27</x:v>
      </x:c>
      <x:c r="C8" s="187" t="str">
        <x:v>per operator/month annual</x:v>
      </x:c>
      <x:c r="D8" s="187" t="str">
        <x:v>2026-08-26</x:v>
      </x:c>
      <x:c r="E8" s="187" t="str">
        <x:v>Primary</x:v>
      </x:c>
      <x:c r="F8" s="187" t="str">
        <x:v>Hudu</x:v>
      </x:c>
      <x:c r="G8" s="187" t="str">
        <x:v>https://www.hudu.com/pricing</x:v>
      </x:c>
      <x:c r="H8" s="187" t="str">
        <x:v>Portal users free; REST API; no user minimum</x:v>
      </x:c>
    </x:row>
    <x:row r="9" ht="24" hidden="0" customHeight="1">
      <x:c r="A9" s="187" t="str">
        <x:v>1Password</x:v>
      </x:c>
      <x:c r="B9" s="187" t="str">
        <x:v>CAD 29.95</x:v>
      </x:c>
      <x:c r="C9" s="187" t="str">
        <x:v>per organization/month annual</x:v>
      </x:c>
      <x:c r="D9" s="187" t="str">
        <x:v>2026-08-26</x:v>
      </x:c>
      <x:c r="E9" s="187" t="str">
        <x:v>Primary</x:v>
      </x:c>
      <x:c r="F9" s="187" t="str">
        <x:v>1Password</x:v>
      </x:c>
      <x:c r="G9" s="187" t="str">
        <x:v>https://1password.com/pricing/business</x:v>
      </x:c>
      <x:c r="H9" s="187" t="str">
        <x:v>Teams Starter includes ten; MSP edition requires distributor quote</x:v>
      </x:c>
    </x:row>
    <x:row r="10" ht="15" hidden="0" customHeight="1">
      <x:c r="A10" s="187" t="str">
        <x:v>n8n</x:v>
      </x:c>
      <x:c r="B10" s="187" t="str">
        <x:v>EUR 20 / 50 / 667</x:v>
      </x:c>
      <x:c r="C10" s="187" t="str">
        <x:v>workspace/month annual</x:v>
      </x:c>
      <x:c r="D10" s="187" t="str">
        <x:v>2026-08-26</x:v>
      </x:c>
      <x:c r="E10" s="187" t="str">
        <x:v>Primary</x:v>
      </x:c>
      <x:c r="F10" s="187" t="str">
        <x:v>n8n</x:v>
      </x:c>
      <x:c r="G10" s="187" t="str">
        <x:v>https://n8n.io/pricing/</x:v>
      </x:c>
      <x:c r="H10" s="187" t="str">
        <x:v>Cloud in Frankfurt; Business is self-hosted</x:v>
      </x:c>
    </x:row>
    <x:row r="11" ht="15" hidden="0" customHeight="1">
      <x:c r="A11" s="187" t="str">
        <x:v>Supabase</x:v>
      </x:c>
      <x:c r="B11" s="187" t="str">
        <x:v>USD 25; PITR USD 100</x:v>
      </x:c>
      <x:c r="C11" s="187" t="str">
        <x:v>project/month</x:v>
      </x:c>
      <x:c r="D11" s="187" t="str">
        <x:v>2026-08-26</x:v>
      </x:c>
      <x:c r="E11" s="187" t="str">
        <x:v>Primary</x:v>
      </x:c>
      <x:c r="F11" s="187" t="str">
        <x:v>Supabase</x:v>
      </x:c>
      <x:c r="G11" s="187" t="str">
        <x:v>https://supabase.com/pricing</x:v>
      </x:c>
      <x:c r="H11" s="187" t="str">
        <x:v>Team plan is USD 599 if platform-level controls are required</x:v>
      </x:c>
    </x:row>
    <x:row r="12" ht="24" hidden="0" customHeight="1">
      <x:c r="A12" s="187" t="str">
        <x:v>Clerk</x:v>
      </x:c>
      <x:c r="B12" s="187" t="str">
        <x:v>USD 85</x:v>
      </x:c>
      <x:c r="C12" s="187" t="str">
        <x:v>application/month annual</x:v>
      </x:c>
      <x:c r="D12" s="187" t="str">
        <x:v>2026-08-26</x:v>
      </x:c>
      <x:c r="E12" s="187" t="str">
        <x:v>Primary</x:v>
      </x:c>
      <x:c r="F12" s="187" t="str">
        <x:v>Clerk</x:v>
      </x:c>
      <x:c r="G12" s="187" t="str">
        <x:v>https://clerk.com/pricing</x:v>
      </x:c>
      <x:c r="H12" s="187" t="str">
        <x:v>Basic B2B organizations are free; enhanced roles/organization membership modeled</x:v>
      </x:c>
    </x:row>
    <x:row r="13" ht="15" hidden="0" customHeight="1">
      <x:c r="A13" s="187" t="str">
        <x:v>Cloudflare Workers</x:v>
      </x:c>
      <x:c r="B13" s="187" t="str">
        <x:v>USD 5</x:v>
      </x:c>
      <x:c r="C13" s="187" t="str">
        <x:v>account/month</x:v>
      </x:c>
      <x:c r="D13" s="187" t="str">
        <x:v>2026-08-26</x:v>
      </x:c>
      <x:c r="E13" s="187" t="str">
        <x:v>Primary</x:v>
      </x:c>
      <x:c r="F13" s="187" t="str">
        <x:v>Cloudflare</x:v>
      </x:c>
      <x:c r="G13" s="187" t="str">
        <x:v>https://developers.cloudflare.com/workers/platform/pricing/</x:v>
      </x:c>
      <x:c r="H13" s="187" t="str">
        <x:v>Base paid plan; metered overages excluded</x:v>
      </x:c>
    </x:row>
    <x:row r="14" ht="15" hidden="0" customHeight="1">
      <x:c r="A14" s="187" t="str">
        <x:v>Langfuse</x:v>
      </x:c>
      <x:c r="B14" s="187" t="str">
        <x:v>USD 29 / 199</x:v>
      </x:c>
      <x:c r="C14" s="187" t="str">
        <x:v>account/month</x:v>
      </x:c>
      <x:c r="D14" s="187" t="str">
        <x:v>2026-08-26</x:v>
      </x:c>
      <x:c r="E14" s="187" t="str">
        <x:v>Primary</x:v>
      </x:c>
      <x:c r="F14" s="187" t="str">
        <x:v>Langfuse</x:v>
      </x:c>
      <x:c r="G14" s="187" t="str">
        <x:v>https://langfuse.com/pricing</x:v>
      </x:c>
      <x:c r="H14" s="187" t="str">
        <x:v>Usage overages and Teams add-on excluded</x:v>
      </x:c>
    </x:row>
    <x:row r="15" ht="15" hidden="0" customHeight="1">
      <x:c r="A15" s="187" t="str">
        <x:v>Sentry</x:v>
      </x:c>
      <x:c r="B15" s="187" t="str">
        <x:v>USD 26 / 80</x:v>
      </x:c>
      <x:c r="C15" s="187" t="str">
        <x:v>account/month</x:v>
      </x:c>
      <x:c r="D15" s="187" t="str">
        <x:v>2026-08-26</x:v>
      </x:c>
      <x:c r="E15" s="187" t="str">
        <x:v>Primary</x:v>
      </x:c>
      <x:c r="F15" s="187" t="str">
        <x:v>Sentry</x:v>
      </x:c>
      <x:c r="G15" s="187" t="str">
        <x:v>https://sentry.io/pricing/</x:v>
      </x:c>
      <x:c r="H15" s="187" t="str">
        <x:v>Usage overages excluded</x:v>
      </x:c>
    </x:row>
    <x:row r="16" ht="15" hidden="0" customHeight="1">
      <x:c r="A16" s="187" t="str">
        <x:v>Labour rate</x:v>
      </x:c>
      <x:c r="B16" s="187" t="n">
        <x:v>150</x:v>
      </x:c>
      <x:c r="C16" s="187" t="str">
        <x:v>CAD/hour</x:v>
      </x:c>
      <x:c r="D16" s="187" t="str">
        <x:v>2026-08-26</x:v>
      </x:c>
      <x:c r="E16" s="187" t="str">
        <x:v>Assumption</x:v>
      </x:c>
      <x:c r="F16" s="187" t="str">
        <x:v>Dirtyworks.ai planning</x:v>
      </x:c>
      <x:c r="G16" s="187" t="str">
        <x:v>documents/business-plan/experiment-capital-and-capacity-plan.md</x:v>
      </x:c>
      <x:c r="H16" s="187" t="str">
        <x:v>Replace with actual loaded operator/engineering rate</x:v>
      </x:c>
    </x:row>
    <x:row r="17" ht="24" hidden="0" customHeight="1">
      <x:c r="A17" s="187" t="str">
        <x:v>Build hours</x:v>
      </x:c>
      <x:c r="B17" s="187" t="str">
        <x:v>40 / 240 / 750</x:v>
      </x:c>
      <x:c r="C17" s="187" t="str">
        <x:v>hours</x:v>
      </x:c>
      <x:c r="D17" s="187" t="str">
        <x:v>2026-08-26</x:v>
      </x:c>
      <x:c r="E17" s="187" t="str">
        <x:v>Assumption</x:v>
      </x:c>
      <x:c r="F17" s="187" t="str">
        <x:v>Dirtyworks.ai planning</x:v>
      </x:c>
      <x:c r="G17" s="187" t="str">
        <x:v>documents/operations/agent-operated-service-platform-blueprint.md</x:v>
      </x:c>
      <x:c r="H17" s="187" t="str">
        <x:v>Core SaaS / hybrid SaaS platform / advanced workloads; track actual effort</x:v>
      </x:c>
    </x:row>
    <x:row r="18" ht="24" hidden="0" customHeight="1">
      <x:c r="A18" s="188" t="str">
        <x:v>AI-agent model allowance</x:v>
      </x:c>
      <x:c r="B18" s="188" t="str">
        <x:v>Case-specific</x:v>
      </x:c>
      <x:c r="C18" s="188" t="str">
        <x:v>CAD/month</x:v>
      </x:c>
      <x:c r="D18" s="188" t="str">
        <x:v>2026-08-26</x:v>
      </x:c>
      <x:c r="E18" s="188" t="str">
        <x:v>Assumption</x:v>
      </x:c>
      <x:c r="F18" s="188" t="str">
        <x:v>Dirtyworks.ai planning</x:v>
      </x:c>
      <x:c r="G18" s="188" t="str">
        <x:v>Assumptions!B32:J32</x:v>
      </x:c>
      <x:c r="H18" s="188" t="str">
        <x:v>Includes model/tool calls for operations interface, not client AI licences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40d7ec4da084c5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35" hidden="0" customWidth="1"/>
    <x:col min="5" max="5" width="38" hidden="0" customWidth="1"/>
  </x:cols>
  <x:sheetData>
    <x:row r="1" ht="15" hidden="0" customHeight="1">
      <x:c r="A1" s="250" t="str">
        <x:v>Model Checks</x:v>
      </x:c>
      <x:c r="B1" s="250" t="str">
        <x:v>Model Checks</x:v>
      </x:c>
      <x:c r="C1" s="250" t="str">
        <x:v>Model Checks</x:v>
      </x:c>
      <x:c r="D1" s="250" t="str">
        <x:v>Model Checks</x:v>
      </x:c>
      <x:c r="E1" s="250" t="str">
        <x:v>Model Checks</x:v>
      </x:c>
    </x:row>
    <x:row r="2" ht="15" hidden="0" customHeight="1">
      <x:c r="A2" s="165" t="str">
        <x:v>PASS means the workbook is internally consistent; it does not validate vendor quotes, API capability, data residency, security, demand or delivery economics.</x:v>
      </x:c>
      <x:c r="B2" s="165" t="str">
        <x:v>PASS means the workbook is internally consistent; it does not validate vendor quotes, API capability, data residency, security, demand or delivery economics.</x:v>
      </x:c>
      <x:c r="C2" s="165" t="str">
        <x:v>PASS means the workbook is internally consistent; it does not validate vendor quotes, API capability, data residency, security, demand or delivery economics.</x:v>
      </x:c>
      <x:c r="D2" s="165" t="str">
        <x:v>PASS means the workbook is internally consistent; it does not validate vendor quotes, API capability, data residency, security, demand or delivery economics.</x:v>
      </x:c>
      <x:c r="E2" s="165" t="str">
        <x:v>PASS means the workbook is internally consistent; it does not validate vendor quotes, API capability, data residency, security, demand or delivery economics.</x:v>
      </x:c>
    </x:row>
    <x:row r="3" ht="15" hidden="0" customHeight="1">
      <x:c r="A3" s="166"/>
      <x:c r="B3" s="166"/>
      <x:c r="C3" s="166"/>
      <x:c r="D3" s="166"/>
      <x:c r="E3" s="166"/>
    </x:row>
    <x:row r="4" ht="15" hidden="0" customHeight="1">
      <x:c r="A4" s="167" t="str">
        <x:v>Check</x:v>
      </x:c>
      <x:c r="B4" s="168" t="str">
        <x:v>Result</x:v>
      </x:c>
      <x:c r="C4" s="168" t="str">
        <x:v>Delta / count</x:v>
      </x:c>
      <x:c r="D4" s="168" t="str">
        <x:v>Where to fix</x:v>
      </x:c>
      <x:c r="E4" s="169" t="str">
        <x:v>Notes</x:v>
      </x:c>
    </x:row>
    <x:row r="5" ht="15" hidden="0" customHeight="1">
      <x:c r="A5" s="195" t="str">
        <x:v>FX rates positive</x:v>
      </x:c>
      <x:c r="B5" s="195" t="str">
        <x:f>IF(C5&gt;0,"PASS","FAIL")</x:f>
        <x:v>PASS</x:v>
      </x:c>
      <x:c r="C5" s="247" t="n">
        <x:f>MIN('Assumptions'!B6:B8)</x:f>
        <x:v>1</x:v>
      </x:c>
      <x:c r="D5" s="195" t="str">
        <x:v>Assumptions B6:B8</x:v>
      </x:c>
      <x:c r="E5" s="195" t="str">
        <x:v>Exchange-rate input</x:v>
      </x:c>
    </x:row>
    <x:row r="6" ht="15" hidden="0" customHeight="1">
      <x:c r="A6" s="197" t="str">
        <x:v>Client counts positive</x:v>
      </x:c>
      <x:c r="B6" s="197" t="str">
        <x:f>IF(C6&gt;0,"PASS","FAIL")</x:f>
        <x:v>PASS</x:v>
      </x:c>
      <x:c r="C6" s="248" t="n">
        <x:f>MIN('Assumptions'!B13:J13)</x:f>
        <x:v>1</x:v>
      </x:c>
      <x:c r="D6" s="197" t="str">
        <x:v>Assumptions B13:J13</x:v>
      </x:c>
      <x:c r="E6" s="197" t="str">
        <x:v>Client-count cases</x:v>
      </x:c>
    </x:row>
    <x:row r="7" ht="15" hidden="0" customHeight="1">
      <x:c r="A7" s="197" t="str">
        <x:v>No negative platform quantities</x:v>
      </x:c>
      <x:c r="B7" s="197" t="str">
        <x:f>IF(C7&gt;=0,"PASS","FAIL")</x:f>
        <x:v>PASS</x:v>
      </x:c>
      <x:c r="C7" s="248" t="n">
        <x:f>MIN('Assumptions'!B17:J32)</x:f>
        <x:v>0</x:v>
      </x:c>
      <x:c r="D7" s="197" t="str">
        <x:v>Assumptions B17:J32</x:v>
      </x:c>
      <x:c r="E7" s="197" t="str">
        <x:v>Platform quantities and allowances</x:v>
      </x:c>
    </x:row>
    <x:row r="8" ht="15" hidden="0" customHeight="1">
      <x:c r="A8" s="197" t="str">
        <x:v>Scenario total = software + labour</x:v>
      </x:c>
      <x:c r="B8" s="197" t="str">
        <x:f>IF(C8&lt;0.01,"PASS","FAIL")</x:f>
        <x:v>PASS</x:v>
      </x:c>
      <x:c r="C8" s="248" t="n">
        <x:f>ABS('Scenario Model'!B29-'Scenario Model'!B22-'Scenario Model'!B28)+ABS('Scenario Model'!C29-'Scenario Model'!C22-'Scenario Model'!C28)+ABS('Scenario Model'!D29-'Scenario Model'!D22-'Scenario Model'!D28)+ABS('Scenario Model'!E29-'Scenario Model'!E22-'Scenario Model'!E28)+ABS('Scenario Model'!F29-'Scenario Model'!F22-'Scenario Model'!F28)+ABS('Scenario Model'!G29-'Scenario Model'!G22-'Scenario Model'!G28)+ABS('Scenario Model'!H29-'Scenario Model'!H22-'Scenario Model'!H28)+ABS('Scenario Model'!I29-'Scenario Model'!I22-'Scenario Model'!I28)+ABS('Scenario Model'!J29-'Scenario Model'!J22-'Scenario Model'!J28)</x:f>
        <x:v>4.547473508864641e-13</x:v>
      </x:c>
      <x:c r="D8" s="197" t="str">
        <x:v>Scenario Model rows 22, 28, 29</x:v>
      </x:c>
      <x:c r="E8" s="197" t="str">
        <x:v>Monthly TCO arithmetic</x:v>
      </x:c>
    </x:row>
    <x:row r="9" ht="15" hidden="0" customHeight="1">
      <x:c r="A9" s="197" t="str">
        <x:v>Per-client formula reconciles</x:v>
      </x:c>
      <x:c r="B9" s="197" t="str">
        <x:f>IF(C9&lt;0.01,"PASS","FAIL")</x:f>
        <x:v>PASS</x:v>
      </x:c>
      <x:c r="C9" s="248" t="n">
        <x:f>ABS('Scenario Model'!B30*'Scenario Model'!B24-'Scenario Model'!B29)+ABS('Scenario Model'!C30*'Scenario Model'!C24-'Scenario Model'!C29)+ABS('Scenario Model'!D30*'Scenario Model'!D24-'Scenario Model'!D29)+ABS('Scenario Model'!E30*'Scenario Model'!E24-'Scenario Model'!E29)+ABS('Scenario Model'!F30*'Scenario Model'!F24-'Scenario Model'!F29)+ABS('Scenario Model'!G30*'Scenario Model'!G24-'Scenario Model'!G29)+ABS('Scenario Model'!H30*'Scenario Model'!H24-'Scenario Model'!H29)+ABS('Scenario Model'!I30*'Scenario Model'!I24-'Scenario Model'!I29)+ABS('Scenario Model'!J30*'Scenario Model'!J24-'Scenario Model'!J29)</x:f>
        <x:v>0</x:v>
      </x:c>
      <x:c r="D9" s="197" t="str">
        <x:v>Scenario Model rows 24, 29, 30</x:v>
      </x:c>
      <x:c r="E9" s="197" t="str">
        <x:v>Per-client arithmetic</x:v>
      </x:c>
    </x:row>
    <x:row r="10" ht="15" hidden="0" customHeight="1">
      <x:c r="A10" s="197" t="str">
        <x:v>Build total = engineering + hardening</x:v>
      </x:c>
      <x:c r="B10" s="197" t="str">
        <x:f>IF(C10&lt;0.01,"PASS","FAIL")</x:f>
        <x:v>PASS</x:v>
      </x:c>
      <x:c r="C10" s="248" t="n">
        <x:f>ABS('Build Cost'!F5-'Build Cost'!D5-'Build Cost'!E5)+ABS('Build Cost'!F6-'Build Cost'!D6-'Build Cost'!E6)+ABS('Build Cost'!F7-'Build Cost'!D7-'Build Cost'!E7)</x:f>
        <x:v>0</x:v>
      </x:c>
      <x:c r="D10" s="197" t="str">
        <x:v>Build Cost D:F</x:v>
      </x:c>
      <x:c r="E10" s="197" t="str">
        <x:v>One-time midpoint arithmetic</x:v>
      </x:c>
    </x:row>
    <x:row r="11" ht="15" hidden="0" customHeight="1">
      <x:c r="A11" s="200" t="str">
        <x:v>Public-price source URLs populated</x:v>
      </x:c>
      <x:c r="B11" s="200" t="str">
        <x:f>IF(C11=0,"PASS","FAIL")</x:f>
        <x:v>PASS</x:v>
      </x:c>
      <x:c r="C11" s="249" t="n">
        <x:f>COUNTBLANK('Platform Catalog'!H5:H19)</x:f>
        <x:v>0</x:v>
      </x:c>
      <x:c r="D11" s="200" t="str">
        <x:v>Platform Catalog H5:H19</x:v>
      </x:c>
      <x:c r="E11" s="200" t="str">
        <x:v>Vendor price-source coverage</x:v>
      </x:c>
    </x:row>
    <x:row r="12" ht="15" hidden="0" customHeight="1">
      <x:c r="A12" s="166"/>
      <x:c r="B12" s="166"/>
      <x:c r="C12" s="166"/>
      <x:c r="D12" s="166"/>
      <x:c r="E12" s="166"/>
    </x:row>
    <x:row r="13" ht="15" hidden="0" customHeight="1">
      <x:c r="A13" s="166"/>
      <x:c r="B13" s="166"/>
      <x:c r="C13" s="166"/>
      <x:c r="D13" s="166"/>
      <x:c r="E13" s="166"/>
    </x:row>
    <x:row r="14" ht="15" hidden="0" customHeight="1">
      <x:c r="A14" s="189" t="str">
        <x:v>MODEL STATUS</x:v>
      </x:c>
      <x:c r="B14" s="191" t="str">
        <x:f>IF(AND(B5="PASS",B6="PASS",B7="PASS",B8="PASS",B9="PASS",B10="PASS",B11="PASS"),"PASS","FAIL")</x:f>
        <x:v>PASS</x:v>
      </x:c>
      <x:c r="C14" s="166"/>
      <x:c r="D14" s="166"/>
      <x:c r="E14" s="166"/>
    </x:row>
  </x:sheetData>
  <x:mergeCells>
    <x:mergeCell ref="A1:E1"/>
    <x:mergeCell ref="A2:E2"/>
  </x:mergeCells>
  <x:conditionalFormatting sqref="B5:B11">
    <x:cfRule type="containsText" dxfId="2" priority="1" operator="containsText" text="PASS"/>
    <x:cfRule type="containsText" dxfId="3" priority="2" operator="containsText" text="FAIL"/>
  </x:conditionalFormatting>
  <x:conditionalFormatting sqref="B14:B14">
    <x:cfRule type="containsText" dxfId="4" priority="3" operator="containsText" text="PASS"/>
    <x:cfRule type="containsText" dxfId="5" priority="4" operator="containsText" text="FAIL"/>
  </x:conditionalFormatting>
  <x:pageMargins left="0.7" right="0.7" top="0.75" bottom="0.75" header="0.3" footer="0.3"/>
</x:worksheet>
</file>