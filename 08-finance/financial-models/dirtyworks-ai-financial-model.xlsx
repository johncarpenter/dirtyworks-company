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e8ec25075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2242322b0bd40fb"/>
    <x:sheet xmlns:r="http://schemas.openxmlformats.org/officeDocument/2006/relationships" name="Dashboard" sheetId="2" r:id="R8ab35e38705c492c"/>
    <x:sheet xmlns:r="http://schemas.openxmlformats.org/officeDocument/2006/relationships" name="Assumptions" sheetId="3" r:id="Rf4dcdc50cc72416f"/>
    <x:sheet xmlns:r="http://schemas.openxmlformats.org/officeDocument/2006/relationships" name="Scenarios" sheetId="4" r:id="R0dc4e693394345d4"/>
    <x:sheet xmlns:r="http://schemas.openxmlformats.org/officeDocument/2006/relationships" name="Monthly Model" sheetId="5" r:id="Rdcdef76f8ec1478d"/>
    <x:sheet xmlns:r="http://schemas.openxmlformats.org/officeDocument/2006/relationships" name="Unit Economics" sheetId="6" r:id="R2fe19c3589f14c0a"/>
    <x:sheet xmlns:r="http://schemas.openxmlformats.org/officeDocument/2006/relationships" name="Channel Economics" sheetId="7" r:id="R242d125656c944bb"/>
    <x:sheet xmlns:r="http://schemas.openxmlformats.org/officeDocument/2006/relationships" name="Checks" sheetId="8" r:id="R1833f05230cb455c"/>
    <x:sheet xmlns:r="http://schemas.openxmlformats.org/officeDocument/2006/relationships" name="Sources" sheetId="9" r:id="Rd59f562d8f26485a"/>
  </x:sheets>
</x:workbook>
</file>

<file path=xl/comments1.xml><?xml version="1.0" encoding="utf-8"?>
<x:comments xmlns:x="http://schemas.openxmlformats.org/spreadsheetml/2006/main">
  <x:authors>
    <x:author>tc={0D539D7F-B3CA-1CCF-96B7-4001CDDFB547}</x:author>
    <x:author>tc={A4A18404-94CB-C6D1-C45B-FC3B38E2611B}</x:author>
    <x:author>tc={76C8B711-D0D3-C938-21F9-5523153DA99A}</x:author>
    <x:author>tc={F69A470F-EEB0-8644-4DBA-581A312BD3EF}</x:author>
    <x:author>tc={5CC658F6-989B-8642-6E1A-475C7F595C77}</x:author>
    <x:author>tc={4F0D716A-5353-2CCF-721F-43B7FA0CD0CE}</x:author>
    <x:author>tc={8AAF1B55-F955-B06D-A89A-E6AF376C7AF6}</x:author>
    <x:author>tc={9F5AB98E-4B25-0D75-4488-28B35E86B1A7}</x:author>
    <x:author>tc={344D5D0B-F796-126E-29F1-8C08EFE5FD58}</x:author>
    <x:author>tc={65F37C09-EB38-8A98-B7AB-F253633876C5}</x:author>
    <x:author>tc={3D724824-6C9A-C5BA-93EC-DE485C8E4F0A}</x:author>
    <x:author>tc={B439537E-3AA5-8696-7450-C63132E5AC27}</x:author>
    <x:author>tc={4A41BE5A-ADD9-506B-4850-CDE1A836A795}</x:author>
    <x:author>tc={CD73AF89-5603-1C53-8A97-0D6D88A10677}</x:author>
    <x:author>tc={3F80EAD9-AF73-6B39-68B8-20118BD32681}</x:author>
    <x:author>tc={4BD970E8-4D1F-CABD-AB14-059CE602B865}</x:author>
    <x:author>tc={1630921F-003E-3F91-DB21-251E2C44D6CD}</x:author>
    <x:author>tc={CAEF2F99-C189-FECC-EE8B-999C5765E060}</x:author>
    <x:author>tc={2DEF0FD6-066F-1C69-CDB4-B8D852CA546E}</x:author>
    <x:author>tc={6216CD70-BC7B-BB0E-DB5D-36DEACD55F0B}</x:author>
    <x:author>tc={026E7843-461B-D222-F216-65E1A39C6B3C}</x:author>
    <x:author>tc={96E45A6D-A177-15B1-E42E-4701D66EF389}</x:author>
    <x:author>tc={A79D5F24-FE42-A87D-0EC9-1791B66AD7F9}</x:author>
    <x:author>tc={552A4099-6E99-A28A-EAF1-9C4DCF9F0099}</x:author>
    <x:author>tc={D80B3309-0190-6090-1611-EE830A536B6E}</x:author>
    <x:author>tc={D693E797-248E-1AD4-033E-D502A5C308B7}</x:author>
    <x:author>tc={268957AD-5937-67B5-C2C9-E9BDC06EA926}</x:author>
    <x:author>tc={E69AC559-9FC7-F5F5-0D49-86B2D9167354}</x:author>
    <x:author>tc={F131753F-4916-5891-62EF-7EAA50B760FC}</x:author>
    <x:author>tc={D21C8F68-8CB7-ABD2-85DD-CCBF8B2120D7}</x:author>
  </x:authors>
  <x:commentList>
    <x:comment ref="C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D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E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C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D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E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C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D1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E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C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D1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E1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C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D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E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Status: pricing hypothesis</x:t>
        </x:r>
      </x:text>
    </x:comment>
    <x:comment ref="C3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sponsor direction and documents/business-plan/experiment-capital-and-capacity-plan.md | As-of: 2026-08-25</x:t>
        </x:r>
      </x:text>
    </x:comment>
    <x:comment ref="D3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sponsor direction and documents/business-plan/experiment-capital-and-capacity-plan.md | As-of: 2026-08-25</x:t>
        </x:r>
      </x:text>
    </x:comment>
    <x:comment ref="E3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sponsor direction and documents/business-plan/experiment-capital-and-capacity-plan.md | As-of: 2026-08-25</x:t>
        </x:r>
      </x:text>
    </x:comment>
    <x:comment ref="C3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Target maximum</x:t>
        </x:r>
      </x:text>
    </x:comment>
    <x:comment ref="D3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Target maximum</x:t>
        </x:r>
      </x:text>
    </x:comment>
    <x:comment ref="E3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documents/business-plan/offer-and-pricing-model.md | As-of: 2026-08-25 | Target maximum</x:t>
        </x:r>
      </x:text>
    </x:comment>
    <x:comment ref="C6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sponsor direction and documents/business-plan/experiment-capital-and-capacity-plan.md | As-of: 2026-08-25</x:t>
        </x:r>
      </x:text>
    </x:comment>
    <x:comment ref="D6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sponsor direction and documents/business-plan/experiment-capital-and-capacity-plan.md | As-of: 2026-08-25</x:t>
        </x:r>
      </x:text>
    </x:comment>
    <x:comment ref="E6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sponsor direction and documents/business-plan/experiment-capital-and-capacity-plan.md | As-of: 2026-08-25</x:t>
        </x:r>
      </x:text>
    </x:comment>
    <x:comment ref="C6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documents/business-plan/experiment-capital-and-capacity-plan.md | Evidence-gated planning assumption</x:t>
        </x:r>
      </x:text>
    </x:comment>
    <x:comment ref="D6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documents/business-plan/experiment-capital-and-capacity-plan.md | Evidence-gated planning assumption</x:t>
        </x:r>
      </x:text>
    </x:comment>
    <x:comment ref="E6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documents/business-plan/experiment-capital-and-capacity-plan.md | Evidence-gated planning assumption</x:t>
        </x:r>
      </x:text>
    </x:comment>
    <x:comment ref="C6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documents/business-plan/experiment-capital-and-capacity-plan.md | Evidence-gated planning assumption</x:t>
        </x:r>
      </x:text>
    </x:comment>
    <x:comment ref="D6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documents/business-plan/experiment-capital-and-capacity-plan.md | Evidence-gated planning assumption</x:t>
        </x:r>
      </x:text>
    </x:comment>
    <x:comment ref="E6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documents/business-plan/experiment-capital-and-capacity-plan.md | Evidence-gated planning assumption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.0;[Red](#,##0.0);-"/>
    <x:numFmt numFmtId="202" formatCode="0.0%;[Red](0.0%);-"/>
    <x:numFmt numFmtId="203" formatCode="$#,##0;[Red]($#,##0);-"/>
    <x:numFmt numFmtId="204" formatCode="mmm-yy"/>
    <x:numFmt numFmtId="205" formatCode="0.000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171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171717"/>
      <x:name val="Carlito"/>
    </x:font>
    <x:font>
      <x:i/>
      <x:sz val="11"/>
      <x:color rgb="FF6B6B6B"/>
      <x:name val="Carlito"/>
    </x:font>
    <x:font>
      <x:sz val="11"/>
      <x:color rgb="FF008000"/>
      <x:name val="Carlito"/>
    </x:font>
    <x:font>
      <x:i/>
      <x:sz val="11"/>
      <x:color rgb="FF171717"/>
      <x:name val="Carlito"/>
    </x:font>
    <x:font>
      <x:b/>
      <x:sz val="13"/>
      <x:color rgb="FFFFFFFF"/>
      <x:name val="Carlito"/>
    </x:font>
    <x:font>
      <x:b/>
      <x:sz val="11"/>
      <x:color rgb="FF171717"/>
      <x:name val="Carlito"/>
    </x:font>
    <x:font>
      <x:b/>
      <x:sz val="11"/>
      <x:color rgb="FFC84630"/>
      <x:name val="Carlito"/>
    </x:font>
    <x:font>
      <x:b/>
      <x:sz val="14"/>
      <x:color rgb="FF008000"/>
      <x:name val="Carlito"/>
    </x:font>
    <x:font>
      <x:b/>
      <x:sz val="22"/>
      <x:color rgb="FFFFFFFF"/>
      <x:name val="Carlito"/>
    </x:font>
    <x:font>
      <x:sz val="12"/>
      <x:color rgb="FF17171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4F0E8"/>
      </x:patternFill>
    </x:fill>
    <x:fill>
      <x:patternFill patternType="solid">
        <x:fgColor rgb="FFC84630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171717"/>
      </x:left>
      <x:top style="thin">
        <x:color rgb="FF171717"/>
      </x:top>
      <x:bottom style="thin">
        <x:color rgb="FF171717"/>
      </x:bottom>
    </x:border>
    <x:border>
      <x:top style="thin">
        <x:color rgb="FF171717"/>
      </x:top>
      <x:bottom style="thin">
        <x:color rgb="FF171717"/>
      </x:bottom>
    </x:border>
    <x:border>
      <x:right style="thin">
        <x:color rgb="FF171717"/>
      </x:right>
      <x:top style="thin">
        <x:color rgb="FF171717"/>
      </x:top>
      <x:bottom style="thin">
        <x:color rgb="FF171717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right"/>
    </x:xf>
    <x:xf numFmtId="200" fontId="4" fillId="5" borderId="0" xfId="0" applyNumberFormat="1" applyFont="1" applyFill="1" applyBorder="1" applyAlignment="1">
      <x:alignment horizontal="right"/>
    </x:xf>
    <x:xf numFmtId="201" fontId="4" fillId="5" borderId="0" xfId="0" applyNumberFormat="1" applyFont="1" applyFill="1" applyBorder="1" applyAlignment="1">
      <x:alignment horizontal="right"/>
    </x:xf>
    <x:xf numFmtId="202" fontId="4" fillId="5" borderId="0" xfId="0" applyNumberFormat="1" applyFont="1" applyFill="1" applyBorder="1" applyAlignment="1">
      <x:alignment horizontal="right"/>
    </x:xf>
    <x:xf numFmtId="203" fontId="4" fillId="5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3" fillId="2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5" fillId="0" borderId="0" xfId="0" applyNumberFormat="1" applyFont="1" applyFill="1" applyBorder="1"/>
    <x:xf numFmtId="0" fontId="10" fillId="2" borderId="0" xfId="0" applyNumberFormat="1" applyFont="1" applyFill="1" applyBorder="1"/>
    <x:xf numFmtId="201" fontId="5" fillId="0" borderId="0" xfId="0" applyNumberFormat="1" applyFont="1" applyFill="1" applyBorder="1"/>
    <x:xf numFmtId="203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6" borderId="0" xfId="0" applyNumberFormat="1" applyFont="1" applyFill="1" applyBorder="1"/>
    <x:xf numFmtId="203" fontId="10" fillId="6" borderId="0" xfId="0" applyNumberFormat="1" applyFont="1" applyFill="1" applyBorder="1"/>
    <x:xf numFmtId="203" fontId="5" fillId="7" borderId="0" xfId="0" applyNumberFormat="1" applyFont="1" applyFill="1" applyBorder="1"/>
    <x:xf numFmtId="203" fontId="10" fillId="7" borderId="0" xfId="0" applyNumberFormat="1" applyFont="1" applyFill="1" applyBorder="1"/>
    <x:xf numFmtId="202" fontId="5" fillId="5" borderId="0" xfId="0" applyNumberFormat="1" applyFont="1" applyFill="1" applyBorder="1"/>
    <x:xf numFmtId="202" fontId="10" fillId="5" borderId="0" xfId="0" applyNumberFormat="1" applyFont="1" applyFill="1" applyBorder="1"/>
    <x:xf numFmtId="0" fontId="9" fillId="4" borderId="0" xfId="0" applyNumberFormat="1" applyFont="1" applyFill="1" applyBorder="1"/>
    <x:xf numFmtId="0" fontId="3" fillId="4" borderId="2" xfId="0" applyNumberFormat="1" applyFont="1" applyFill="1" applyBorder="1" applyAlignment="1">
      <x:alignment horizontal="right" vertical="center" wrapText="1"/>
    </x:xf>
    <x:xf numFmtId="0" fontId="3" fillId="4" borderId="3" xfId="0" applyNumberFormat="1" applyFont="1" applyFill="1" applyBorder="1" applyAlignment="1">
      <x:alignment horizontal="right" vertical="center" wrapText="1"/>
    </x:xf>
    <x:xf numFmtId="203" fontId="7" fillId="0" borderId="0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3" fontId="7" fillId="3" borderId="0" xfId="0" applyNumberFormat="1" applyFont="1" applyFill="1" applyBorder="1" applyAlignment="1">
      <x:alignment horizontal="right"/>
    </x:xf>
    <x:xf numFmtId="201" fontId="7" fillId="3" borderId="0" xfId="0" applyNumberFormat="1" applyFont="1" applyFill="1" applyBorder="1" applyAlignment="1">
      <x:alignment horizontal="right"/>
    </x:xf>
    <x:xf numFmtId="202" fontId="7" fillId="3" borderId="0" xfId="0" applyNumberFormat="1" applyFont="1" applyFill="1" applyBorder="1" applyAlignment="1">
      <x:alignment horizontal="right"/>
    </x:xf>
    <x:xf numFmtId="203" fontId="7" fillId="5" borderId="0" xfId="0" applyNumberFormat="1" applyFont="1" applyFill="1" applyBorder="1" applyAlignment="1">
      <x:alignment horizontal="right"/>
    </x:xf>
    <x:xf numFmtId="201" fontId="7" fillId="5" borderId="0" xfId="0" applyNumberFormat="1" applyFont="1" applyFill="1" applyBorder="1" applyAlignment="1">
      <x:alignment horizontal="right"/>
    </x:xf>
    <x:xf numFmtId="202" fontId="7" fillId="5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/>
    <x:xf numFmtId="205" fontId="4" fillId="5" borderId="0" xfId="0" applyNumberFormat="1" applyFont="1" applyFill="1" applyBorder="1"/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3" fontId="7" fillId="3" borderId="0" xfId="0" applyNumberFormat="1" applyFont="1" applyFill="1" applyBorder="1" applyAlignment="1">
      <x:alignment horizontal="right" vertical="center"/>
    </x:xf>
    <x:xf numFmtId="203" fontId="7" fillId="5" borderId="0" xfId="0" applyNumberFormat="1" applyFont="1" applyFill="1" applyBorder="1" applyAlignment="1">
      <x:alignment horizontal="right" vertical="center"/>
    </x:xf>
    <x:xf numFmtId="201" fontId="7" fillId="3" borderId="0" xfId="0" applyNumberFormat="1" applyFont="1" applyFill="1" applyBorder="1" applyAlignment="1">
      <x:alignment horizontal="right" vertical="center"/>
    </x:xf>
    <x:xf numFmtId="201" fontId="7" fillId="5" borderId="0" xfId="0" applyNumberFormat="1" applyFont="1" applyFill="1" applyBorder="1" applyAlignment="1">
      <x:alignment horizontal="right" vertical="center"/>
    </x:xf>
    <x:xf numFmtId="202" fontId="7" fillId="3" borderId="0" xfId="0" applyNumberFormat="1" applyFont="1" applyFill="1" applyBorder="1" applyAlignment="1">
      <x:alignment horizontal="right" vertical="center"/>
    </x:xf>
    <x:xf numFmtId="202" fontId="7" fillId="5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horizontal="right" vertical="center"/>
    </x:xf>
    <x:xf numFmtId="202" fontId="4" fillId="5" borderId="0" xfId="0" applyNumberFormat="1" applyFont="1" applyFill="1" applyBorder="1" applyAlignment="1">
      <x:alignment horizontal="right" vertical="center"/>
    </x:xf>
    <x:xf numFmtId="203" fontId="4" fillId="5" borderId="0" xfId="0" applyNumberFormat="1" applyFont="1" applyFill="1" applyBorder="1" applyAlignment="1">
      <x:alignment horizontal="righ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10" fillId="6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10" fillId="5" borderId="0" xfId="0" applyNumberFormat="1" applyFont="1" applyFill="1" applyBorder="1" applyAlignment="1">
      <x:alignment vertical="center"/>
    </x:xf>
    <x:xf numFmtId="203" fontId="10" fillId="7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5" fontId="7" fillId="0" borderId="0" xfId="0" applyNumberFormat="1" applyFont="1" applyFill="1" applyBorder="1" applyAlignment="1">
      <x:alignment vertical="center"/>
    </x:xf>
    <x:xf numFmtId="205" fontId="4" fillId="5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84630"/>
      </x:font>
      <x:fill>
        <x:patternFill patternType="solid">
          <x:bgColor rgb="FFF4CCCC"/>
        </x:patternFill>
      </x:fill>
    </x:dxf>
    <x:dxf>
      <x:font>
        <x:b/>
        <x:color rgb="FFC84630"/>
      </x:font>
      <x:fill>
        <x:patternFill patternType="solid">
          <x:bgColor rgb="FFF4CCCC"/>
        </x:patternFill>
      </x:fill>
    </x:dxf>
    <x:dxf>
      <x:font>
        <x:b/>
        <x:color rgb="FFC84630"/>
      </x:font>
      <x:fill>
        <x:patternFill patternType="solid">
          <x:bgColor rgb="FFF4CCCC"/>
        </x:patternFill>
      </x:fill>
    </x:dxf>
    <x:dxf>
      <x:font>
        <x:b/>
        <x:color rgb="FFC84630"/>
      </x:font>
      <x:fill>
        <x:patternFill patternType="solid">
          <x:bgColor rgb="FFF4CCCC"/>
        </x:patternFill>
      </x:fill>
    </x:dxf>
    <x:dxf>
      <x:font>
        <x:b/>
        <x:color rgb="FFC84630"/>
      </x:font>
      <x:fill>
        <x:patternFill patternType="solid">
          <x:bgColor rgb="FFF4CCCC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8463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e9fd24a1f4fdb" /><Relationship Type="http://schemas.openxmlformats.org/officeDocument/2006/relationships/theme" Target="/xl/theme/theme1.xml" Id="R752f6c7adfe647e1" /><Relationship Type="http://schemas.openxmlformats.org/officeDocument/2006/relationships/sharedStrings" Target="/xl/sharedStrings.xml" Id="Rcfca79f98481450a" /><Relationship Type="http://schemas.openxmlformats.org/officeDocument/2006/relationships/worksheet" Target="/xl/worksheets/sheet1.xml" Id="R22242322b0bd40fb" /><Relationship Type="http://schemas.openxmlformats.org/officeDocument/2006/relationships/worksheet" Target="/xl/worksheets/sheet2.xml" Id="R8ab35e38705c492c" /><Relationship Type="http://schemas.openxmlformats.org/officeDocument/2006/relationships/worksheet" Target="/xl/worksheets/sheet3.xml" Id="Rf4dcdc50cc72416f" /><Relationship Type="http://schemas.openxmlformats.org/officeDocument/2006/relationships/worksheet" Target="/xl/worksheets/sheet4.xml" Id="R0dc4e693394345d4" /><Relationship Type="http://schemas.openxmlformats.org/officeDocument/2006/relationships/worksheet" Target="/xl/worksheets/sheet5.xml" Id="Rdcdef76f8ec1478d" /><Relationship Type="http://schemas.openxmlformats.org/officeDocument/2006/relationships/worksheet" Target="/xl/worksheets/sheet6.xml" Id="R2fe19c3589f14c0a" /><Relationship Type="http://schemas.openxmlformats.org/officeDocument/2006/relationships/worksheet" Target="/xl/worksheets/sheet7.xml" Id="R242d125656c944bb" /><Relationship Type="http://schemas.openxmlformats.org/officeDocument/2006/relationships/worksheet" Target="/xl/worksheets/sheet8.xml" Id="R1833f05230cb455c" /><Relationship Type="http://schemas.openxmlformats.org/officeDocument/2006/relationships/worksheet" Target="/xl/worksheets/sheet9.xml" Id="Rd59f562d8f26485a" /><Relationship Type="http://schemas.microsoft.com/office/2017/10/relationships/person" Target="/xl/persons/person.xml" Id="R71348aeef1ed44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95c19fa44346e2" /><Relationship Type="http://schemas.openxmlformats.org/officeDocument/2006/relationships/chart" Target="/xl/drawings/charts/chart2.xml" Id="Re88d229e1de440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recurring revenue by scenario (CAD)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Downside MRR</c:v>
          </c:tx>
          <c:marker>
            <c:symbol val="none"/>
          </c:marker>
          <c:cat>
            <c:strRef>
              <c:f>'Dashboard'!$A$29:$A$64</c:f>
              <c:strCache>
                <c:ptCount val="0"/>
              </c:strCache>
            </c:strRef>
          </c:cat>
          <c:val>
            <c:numRef>
              <c:f>'Dashboard'!$B$29:$B$64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 MRR</c:v>
          </c:tx>
          <c:marker>
            <c:symbol val="none"/>
          </c:marker>
          <c:cat>
            <c:strRef>
              <c:f>'Dashboard'!$A$29:$A$64</c:f>
              <c:strCache>
                <c:ptCount val="0"/>
              </c:strCache>
            </c:strRef>
          </c:cat>
          <c:val>
            <c:numRef>
              <c:f>'Dashboard'!$C$29:$C$64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Upside MRR</c:v>
          </c:tx>
          <c:marker>
            <c:symbol val="none"/>
          </c:marker>
          <c:cat>
            <c:strRef>
              <c:f>'Dashboard'!$A$29:$A$64</c:f>
              <c:strCache>
                <c:ptCount val="0"/>
              </c:strCache>
            </c:strRef>
          </c:cat>
          <c:val>
            <c:numRef>
              <c:f>'Dashboard'!$D$29:$D$64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Ending cash after planned sponsor capital (CAD)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Downside cash</c:v>
          </c:tx>
          <c:marker>
            <c:symbol val="none"/>
          </c:marker>
          <c:cat>
            <c:strRef>
              <c:f>'Dashboard'!$F$29:$F$64</c:f>
              <c:strCache>
                <c:ptCount val="0"/>
              </c:strCache>
            </c:strRef>
          </c:cat>
          <c:val>
            <c:numRef>
              <c:f>'Dashboard'!$G$29:$G$64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Base cash</c:v>
          </c:tx>
          <c:marker>
            <c:symbol val="none"/>
          </c:marker>
          <c:cat>
            <c:strRef>
              <c:f>'Dashboard'!$F$29:$F$64</c:f>
              <c:strCache>
                <c:ptCount val="0"/>
              </c:strCache>
            </c:strRef>
          </c:cat>
          <c:val>
            <c:numRef>
              <c:f>'Dashboard'!$H$29:$H$64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Upside cash</c:v>
          </c:tx>
          <c:marker>
            <c:symbol val="none"/>
          </c:marker>
          <c:cat>
            <c:strRef>
              <c:f>'Dashboard'!$F$29:$F$64</c:f>
              <c:strCache>
                <c:ptCount val="0"/>
              </c:strCache>
            </c:strRef>
          </c:cat>
          <c:val>
            <c:numRef>
              <c:f>'Dashboard'!$I$29:$I$64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95c19fa44346e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8d229e1de440f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8C8336B-9FF9-4970-A526-3C33DE3DC2E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9" dT="2026-08-25T23:06:19.313" personId="{E8C8336B-9FF9-4970-A526-3C33DE3DC2E1}" id="{0D539D7F-B3CA-1CCF-96B7-4001CDDFB547}">
    <xltc:text>Source: documents/business-plan/offer-and-pricing-model.md | As-of: 2026-08-25 | Status: pricing hypothesis</xltc:text>
  </xltc:threadedComment>
  <xltc:threadedComment ref="D9" dT="2026-08-25T23:06:19.314" personId="{E8C8336B-9FF9-4970-A526-3C33DE3DC2E1}" id="{A4A18404-94CB-C6D1-C45B-FC3B38E2611B}">
    <xltc:text>Source: documents/business-plan/offer-and-pricing-model.md | As-of: 2026-08-25 | Status: pricing hypothesis</xltc:text>
  </xltc:threadedComment>
  <xltc:threadedComment ref="E9" dT="2026-08-25T23:06:19.314" personId="{E8C8336B-9FF9-4970-A526-3C33DE3DC2E1}" id="{76C8B711-D0D3-C938-21F9-5523153DA99A}">
    <xltc:text>Source: documents/business-plan/offer-and-pricing-model.md | As-of: 2026-08-25 | Status: pricing hypothesis</xltc:text>
  </xltc:threadedComment>
  <xltc:threadedComment ref="C10" dT="2026-08-25T23:06:19.314" personId="{E8C8336B-9FF9-4970-A526-3C33DE3DC2E1}" id="{F69A470F-EEB0-8644-4DBA-581A312BD3EF}">
    <xltc:text>Source: documents/business-plan/offer-and-pricing-model.md | As-of: 2026-08-25 | Status: pricing hypothesis</xltc:text>
  </xltc:threadedComment>
  <xltc:threadedComment ref="D10" dT="2026-08-25T23:06:19.314" personId="{E8C8336B-9FF9-4970-A526-3C33DE3DC2E1}" id="{5CC658F6-989B-8642-6E1A-475C7F595C77}">
    <xltc:text>Source: documents/business-plan/offer-and-pricing-model.md | As-of: 2026-08-25 | Status: pricing hypothesis</xltc:text>
  </xltc:threadedComment>
  <xltc:threadedComment ref="E10" dT="2026-08-25T23:06:19.314" personId="{E8C8336B-9FF9-4970-A526-3C33DE3DC2E1}" id="{4F0D716A-5353-2CCF-721F-43B7FA0CD0CE}">
    <xltc:text>Source: documents/business-plan/offer-and-pricing-model.md | As-of: 2026-08-25 | Status: pricing hypothesis</xltc:text>
  </xltc:threadedComment>
  <xltc:threadedComment ref="C11" dT="2026-08-25T23:06:19.314" personId="{E8C8336B-9FF9-4970-A526-3C33DE3DC2E1}" id="{8AAF1B55-F955-B06D-A89A-E6AF376C7AF6}">
    <xltc:text>Source: documents/business-plan/offer-and-pricing-model.md | As-of: 2026-08-25 | Status: pricing hypothesis</xltc:text>
  </xltc:threadedComment>
  <xltc:threadedComment ref="D11" dT="2026-08-25T23:06:19.314" personId="{E8C8336B-9FF9-4970-A526-3C33DE3DC2E1}" id="{9F5AB98E-4B25-0D75-4488-28B35E86B1A7}">
    <xltc:text>Source: documents/business-plan/offer-and-pricing-model.md | As-of: 2026-08-25 | Status: pricing hypothesis</xltc:text>
  </xltc:threadedComment>
  <xltc:threadedComment ref="E11" dT="2026-08-25T23:06:19.314" personId="{E8C8336B-9FF9-4970-A526-3C33DE3DC2E1}" id="{344D5D0B-F796-126E-29F1-8C08EFE5FD58}">
    <xltc:text>Source: documents/business-plan/offer-and-pricing-model.md | As-of: 2026-08-25 | Status: pricing hypothesis</xltc:text>
  </xltc:threadedComment>
  <xltc:threadedComment ref="C12" dT="2026-08-25T23:06:19.314" personId="{E8C8336B-9FF9-4970-A526-3C33DE3DC2E1}" id="{65F37C09-EB38-8A98-B7AB-F253633876C5}">
    <xltc:text>Source: documents/business-plan/offer-and-pricing-model.md | As-of: 2026-08-25 | Status: pricing hypothesis</xltc:text>
  </xltc:threadedComment>
  <xltc:threadedComment ref="D12" dT="2026-08-25T23:06:19.314" personId="{E8C8336B-9FF9-4970-A526-3C33DE3DC2E1}" id="{3D724824-6C9A-C5BA-93EC-DE485C8E4F0A}">
    <xltc:text>Source: documents/business-plan/offer-and-pricing-model.md | As-of: 2026-08-25 | Status: pricing hypothesis</xltc:text>
  </xltc:threadedComment>
  <xltc:threadedComment ref="E12" dT="2026-08-25T23:06:19.314" personId="{E8C8336B-9FF9-4970-A526-3C33DE3DC2E1}" id="{B439537E-3AA5-8696-7450-C63132E5AC27}">
    <xltc:text>Source: documents/business-plan/offer-and-pricing-model.md | As-of: 2026-08-25 | Status: pricing hypothesis</xltc:text>
  </xltc:threadedComment>
  <xltc:threadedComment ref="C13" dT="2026-08-25T23:06:19.314" personId="{E8C8336B-9FF9-4970-A526-3C33DE3DC2E1}" id="{4A41BE5A-ADD9-506B-4850-CDE1A836A795}">
    <xltc:text>Source: documents/business-plan/offer-and-pricing-model.md | As-of: 2026-08-25 | Status: pricing hypothesis</xltc:text>
  </xltc:threadedComment>
  <xltc:threadedComment ref="D13" dT="2026-08-25T23:06:19.314" personId="{E8C8336B-9FF9-4970-A526-3C33DE3DC2E1}" id="{CD73AF89-5603-1C53-8A97-0D6D88A10677}">
    <xltc:text>Source: documents/business-plan/offer-and-pricing-model.md | As-of: 2026-08-25 | Status: pricing hypothesis</xltc:text>
  </xltc:threadedComment>
  <xltc:threadedComment ref="E13" dT="2026-08-25T23:06:19.314" personId="{E8C8336B-9FF9-4970-A526-3C33DE3DC2E1}" id="{3F80EAD9-AF73-6B39-68B8-20118BD32681}">
    <xltc:text>Source: documents/business-plan/offer-and-pricing-model.md | As-of: 2026-08-25 | Status: pricing hypothesis</xltc:text>
  </xltc:threadedComment>
  <xltc:threadedComment ref="C31" dT="2026-08-25T23:06:19.314" personId="{E8C8336B-9FF9-4970-A526-3C33DE3DC2E1}" id="{4BD970E8-4D1F-CABD-AB14-059CE602B865}">
    <xltc:text>Source: sponsor direction and documents/business-plan/experiment-capital-and-capacity-plan.md | As-of: 2026-08-25</xltc:text>
  </xltc:threadedComment>
  <xltc:threadedComment ref="D31" dT="2026-08-25T23:06:19.314" personId="{E8C8336B-9FF9-4970-A526-3C33DE3DC2E1}" id="{1630921F-003E-3F91-DB21-251E2C44D6CD}">
    <xltc:text>Source: sponsor direction and documents/business-plan/experiment-capital-and-capacity-plan.md | As-of: 2026-08-25</xltc:text>
  </xltc:threadedComment>
  <xltc:threadedComment ref="E31" dT="2026-08-25T23:06:19.314" personId="{E8C8336B-9FF9-4970-A526-3C33DE3DC2E1}" id="{CAEF2F99-C189-FECC-EE8B-999C5765E060}">
    <xltc:text>Source: sponsor direction and documents/business-plan/experiment-capital-and-capacity-plan.md | As-of: 2026-08-25</xltc:text>
  </xltc:threadedComment>
  <xltc:threadedComment ref="C32" dT="2026-08-25T23:06:19.314" personId="{E8C8336B-9FF9-4970-A526-3C33DE3DC2E1}" id="{2DEF0FD6-066F-1C69-CDB4-B8D852CA546E}">
    <xltc:text>Source: documents/business-plan/offer-and-pricing-model.md | As-of: 2026-08-25 | Target maximum</xltc:text>
  </xltc:threadedComment>
  <xltc:threadedComment ref="D32" dT="2026-08-25T23:06:19.314" personId="{E8C8336B-9FF9-4970-A526-3C33DE3DC2E1}" id="{6216CD70-BC7B-BB0E-DB5D-36DEACD55F0B}">
    <xltc:text>Source: documents/business-plan/offer-and-pricing-model.md | As-of: 2026-08-25 | Target maximum</xltc:text>
  </xltc:threadedComment>
  <xltc:threadedComment ref="E32" dT="2026-08-25T23:06:19.314" personId="{E8C8336B-9FF9-4970-A526-3C33DE3DC2E1}" id="{026E7843-461B-D222-F216-65E1A39C6B3C}">
    <xltc:text>Source: documents/business-plan/offer-and-pricing-model.md | As-of: 2026-08-25 | Target maximum</xltc:text>
  </xltc:threadedComment>
  <xltc:threadedComment ref="C60" dT="2026-08-25T23:06:19.314" personId="{E8C8336B-9FF9-4970-A526-3C33DE3DC2E1}" id="{96E45A6D-A177-15B1-E42E-4701D66EF389}">
    <xltc:text>Source: sponsor direction and documents/business-plan/experiment-capital-and-capacity-plan.md | As-of: 2026-08-25</xltc:text>
  </xltc:threadedComment>
  <xltc:threadedComment ref="D60" dT="2026-08-25T23:06:19.314" personId="{E8C8336B-9FF9-4970-A526-3C33DE3DC2E1}" id="{A79D5F24-FE42-A87D-0EC9-1791B66AD7F9}">
    <xltc:text>Source: sponsor direction and documents/business-plan/experiment-capital-and-capacity-plan.md | As-of: 2026-08-25</xltc:text>
  </xltc:threadedComment>
  <xltc:threadedComment ref="E60" dT="2026-08-25T23:06:19.314" personId="{E8C8336B-9FF9-4970-A526-3C33DE3DC2E1}" id="{552A4099-6E99-A28A-EAF1-9C4DCF9F0099}">
    <xltc:text>Source: sponsor direction and documents/business-plan/experiment-capital-and-capacity-plan.md | As-of: 2026-08-25</xltc:text>
  </xltc:threadedComment>
  <xltc:threadedComment ref="C61" dT="2026-08-25T23:06:19.314" personId="{E8C8336B-9FF9-4970-A526-3C33DE3DC2E1}" id="{D80B3309-0190-6090-1611-EE830A536B6E}">
    <xltc:text>Source: documents/business-plan/experiment-capital-and-capacity-plan.md | Evidence-gated planning assumption</xltc:text>
  </xltc:threadedComment>
  <xltc:threadedComment ref="D61" dT="2026-08-25T23:06:19.314" personId="{E8C8336B-9FF9-4970-A526-3C33DE3DC2E1}" id="{D693E797-248E-1AD4-033E-D502A5C308B7}">
    <xltc:text>Source: documents/business-plan/experiment-capital-and-capacity-plan.md | Evidence-gated planning assumption</xltc:text>
  </xltc:threadedComment>
  <xltc:threadedComment ref="E61" dT="2026-08-25T23:06:19.314" personId="{E8C8336B-9FF9-4970-A526-3C33DE3DC2E1}" id="{268957AD-5937-67B5-C2C9-E9BDC06EA926}">
    <xltc:text>Source: documents/business-plan/experiment-capital-and-capacity-plan.md | Evidence-gated planning assumption</xltc:text>
  </xltc:threadedComment>
  <xltc:threadedComment ref="C63" dT="2026-08-25T23:06:19.314" personId="{E8C8336B-9FF9-4970-A526-3C33DE3DC2E1}" id="{E69AC559-9FC7-F5F5-0D49-86B2D9167354}">
    <xltc:text>Source: documents/business-plan/experiment-capital-and-capacity-plan.md | Evidence-gated planning assumption</xltc:text>
  </xltc:threadedComment>
  <xltc:threadedComment ref="D63" dT="2026-08-25T23:06:19.314" personId="{E8C8336B-9FF9-4970-A526-3C33DE3DC2E1}" id="{F131753F-4916-5891-62EF-7EAA50B760FC}">
    <xltc:text>Source: documents/business-plan/experiment-capital-and-capacity-plan.md | Evidence-gated planning assumption</xltc:text>
  </xltc:threadedComment>
  <xltc:threadedComment ref="E63" dT="2026-08-25T23:06:19.314" personId="{E8C8336B-9FF9-4970-A526-3C33DE3DC2E1}" id="{D21C8F68-8CB7-ABD2-85DD-CCBF8B2120D7}">
    <xltc:text>Source: documents/business-plan/experiment-capital-and-capacity-plan.md | Evidence-gated planning assumption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2c068fa561c40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2e86d53bdbba4746" /><Relationship Type="http://schemas.openxmlformats.org/officeDocument/2006/relationships/vmlDrawing" Target="/xl/drawings/vmldrawing.vml" Id="R47ffc68e17664f4f" /><Relationship Type="http://schemas.microsoft.com/office/2017/10/relationships/threadedComment" Target="/xl/threadedcomments/threadedcomment.xml" Id="Rbf10b19ca25541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23" hidden="0" customWidth="1"/>
    <x:col min="5" max="5" width="23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79" t="str">
        <x:v>DIRTYWORKS.AI
OPERATING + INVESTMENT BASELINE</x:v>
      </x:c>
      <x:c r="B1" s="79"/>
      <x:c r="C1" s="79"/>
      <x:c r="D1" s="79"/>
      <x:c r="E1" s="79"/>
      <x:c r="F1" s="79"/>
      <x:c r="G1" s="79"/>
      <x:c r="H1" s="79"/>
    </x:row>
    <x:row r="2">
      <x:c r="A2" s="79"/>
      <x:c r="B2" s="79"/>
      <x:c r="C2" s="79"/>
      <x:c r="D2" s="79"/>
      <x:c r="E2" s="79"/>
      <x:c r="F2" s="79"/>
      <x:c r="G2" s="79"/>
      <x:c r="H2" s="79"/>
    </x:row>
    <x:row r="3">
      <x:c r="A3" s="79"/>
      <x:c r="B3" s="79"/>
      <x:c r="C3" s="79"/>
      <x:c r="D3" s="79"/>
      <x:c r="E3" s="79"/>
      <x:c r="F3" s="79"/>
      <x:c r="G3" s="79"/>
      <x:c r="H3" s="79"/>
    </x:row>
    <x:row r="4">
      <x:c r="A4" s="84"/>
      <x:c r="B4" s="84"/>
      <x:c r="C4" s="84"/>
      <x:c r="D4" s="84"/>
      <x:c r="E4" s="84"/>
      <x:c r="F4" s="84"/>
      <x:c r="G4" s="84"/>
      <x:c r="H4" s="84"/>
    </x:row>
    <x:row r="5">
      <x:c r="A5" s="85" t="str">
        <x:v>Version</x:v>
      </x:c>
      <x:c r="B5" s="84" t="str">
        <x:v>0.1</x:v>
      </x:c>
      <x:c r="C5" s="84"/>
      <x:c r="D5" s="84"/>
      <x:c r="E5" s="84"/>
      <x:c r="F5" s="84"/>
      <x:c r="G5" s="84"/>
      <x:c r="H5" s="84"/>
    </x:row>
    <x:row r="6">
      <x:c r="A6" s="85" t="str">
        <x:v>As of</x:v>
      </x:c>
      <x:c r="B6" s="84" t="str">
        <x:v>2026-08-25</x:v>
      </x:c>
      <x:c r="C6" s="84"/>
      <x:c r="D6" s="84"/>
      <x:c r="E6" s="84"/>
      <x:c r="F6" s="84"/>
      <x:c r="G6" s="84"/>
      <x:c r="H6" s="84"/>
    </x:row>
    <x:row r="7">
      <x:c r="A7" s="85" t="str">
        <x:v>Currency</x:v>
      </x:c>
      <x:c r="B7" s="84" t="str">
        <x:v>CAD, excluding GST</x:v>
      </x:c>
      <x:c r="C7" s="84"/>
      <x:c r="D7" s="84"/>
      <x:c r="E7" s="84"/>
      <x:c r="F7" s="84"/>
      <x:c r="G7" s="84"/>
      <x:c r="H7" s="84"/>
    </x:row>
    <x:row r="8">
      <x:c r="A8" s="85" t="str">
        <x:v>Forecast</x:v>
      </x:c>
      <x:c r="B8" s="84" t="str">
        <x:v>36 months from September 2026</x:v>
      </x:c>
      <x:c r="C8" s="84"/>
      <x:c r="D8" s="84"/>
      <x:c r="E8" s="84"/>
      <x:c r="F8" s="84"/>
      <x:c r="G8" s="84"/>
      <x:c r="H8" s="84"/>
    </x:row>
    <x:row r="9">
      <x:c r="A9" s="85" t="str">
        <x:v>Cases</x:v>
      </x:c>
      <x:c r="B9" s="84" t="str">
        <x:v>Downside / Base / Upside</x:v>
      </x:c>
      <x:c r="C9" s="84"/>
      <x:c r="D9" s="84"/>
      <x:c r="E9" s="84"/>
      <x:c r="F9" s="84"/>
      <x:c r="G9" s="84"/>
      <x:c r="H9" s="84"/>
    </x:row>
    <x:row r="10">
      <x:c r="A10" s="85" t="str">
        <x:v>Owner</x:v>
      </x:c>
      <x:c r="B10" s="84" t="str">
        <x:v>Founder</x:v>
      </x:c>
      <x:c r="C10" s="84"/>
      <x:c r="D10" s="84"/>
      <x:c r="E10" s="84"/>
      <x:c r="F10" s="84"/>
      <x:c r="G10" s="84"/>
      <x:c r="H10" s="84"/>
    </x:row>
    <x:row r="11">
      <x:c r="A11" s="85" t="str">
        <x:v>Model status</x:v>
      </x:c>
      <x:c r="B11" s="86" t="str">
        <x:f>'Checks'!B23</x:f>
        <x:v>PASS</x:v>
      </x:c>
      <x:c r="C11" s="84"/>
      <x:c r="D11" s="84"/>
      <x:c r="E11" s="84"/>
      <x:c r="F11" s="84"/>
      <x:c r="G11" s="84"/>
      <x:c r="H11" s="84"/>
    </x:row>
    <x:row r="12">
      <x:c r="A12" s="84"/>
      <x:c r="B12" s="84"/>
      <x:c r="C12" s="84"/>
      <x:c r="D12" s="84"/>
      <x:c r="E12" s="84"/>
      <x:c r="F12" s="84"/>
      <x:c r="G12" s="84"/>
      <x:c r="H12" s="84"/>
    </x:row>
    <x:row r="13">
      <x:c r="A13" s="87" t="str">
        <x:v>WHAT THIS MODEL IS FOR</x:v>
      </x:c>
      <x:c r="B13" s="87"/>
      <x:c r="C13" s="87"/>
      <x:c r="D13" s="87"/>
      <x:c r="E13" s="87"/>
      <x:c r="F13" s="87"/>
      <x:c r="G13" s="87"/>
      <x:c r="H13" s="87"/>
    </x:row>
    <x:row r="14">
      <x:c r="A14" s="88" t="str">
        <x:v>This workbook makes the business mechanics inspectable: customer acquisition, review-to-launch-to-managed conversion, package mix, channel discount, delivery capacity, founder economics, staged operating spend, cash, and margin. It is an experiment baseline—not a valuation, commitment, or substitute for primary-market evidence.</x:v>
      </x:c>
      <x:c r="B14" s="88"/>
      <x:c r="C14" s="88"/>
      <x:c r="D14" s="88"/>
      <x:c r="E14" s="88"/>
      <x:c r="F14" s="88"/>
      <x:c r="G14" s="88"/>
      <x:c r="H14" s="88"/>
    </x:row>
    <x:row r="15">
      <x:c r="A15" s="88"/>
      <x:c r="B15" s="88"/>
      <x:c r="C15" s="88"/>
      <x:c r="D15" s="88"/>
      <x:c r="E15" s="88"/>
      <x:c r="F15" s="88"/>
      <x:c r="G15" s="88"/>
      <x:c r="H15" s="88"/>
    </x:row>
    <x:row r="16">
      <x:c r="A16" s="88"/>
      <x:c r="B16" s="88"/>
      <x:c r="C16" s="88"/>
      <x:c r="D16" s="88"/>
      <x:c r="E16" s="88"/>
      <x:c r="F16" s="88"/>
      <x:c r="G16" s="88"/>
      <x:c r="H16" s="88"/>
    </x:row>
    <x:row r="17">
      <x:c r="A17" s="88"/>
      <x:c r="B17" s="88"/>
      <x:c r="C17" s="88"/>
      <x:c r="D17" s="88"/>
      <x:c r="E17" s="88"/>
      <x:c r="F17" s="88"/>
      <x:c r="G17" s="88"/>
      <x:c r="H17" s="88"/>
    </x:row>
    <x:row r="18">
      <x:c r="A18" s="88"/>
      <x:c r="B18" s="88"/>
      <x:c r="C18" s="88"/>
      <x:c r="D18" s="88"/>
      <x:c r="E18" s="88"/>
      <x:c r="F18" s="88"/>
      <x:c r="G18" s="88"/>
      <x:c r="H18" s="88"/>
    </x:row>
    <x:row r="19">
      <x:c r="A19" s="84"/>
      <x:c r="B19" s="84"/>
      <x:c r="C19" s="84"/>
      <x:c r="D19" s="84"/>
      <x:c r="E19" s="84"/>
      <x:c r="F19" s="84"/>
      <x:c r="G19" s="84"/>
      <x:c r="H19" s="84"/>
    </x:row>
    <x:row r="20">
      <x:c r="A20" s="63" t="str">
        <x:v>WORKBOOK FLOW</x:v>
      </x:c>
      <x:c r="B20" s="63"/>
      <x:c r="C20" s="63"/>
      <x:c r="D20" s="63"/>
      <x:c r="E20" s="63"/>
      <x:c r="F20" s="63"/>
      <x:c r="G20" s="63"/>
      <x:c r="H20" s="63"/>
    </x:row>
    <x:row r="21">
      <x:c r="A21" s="89" t="str">
        <x:v>1</x:v>
      </x:c>
      <x:c r="B21" s="90" t="str">
        <x:v>Dashboard</x:v>
      </x:c>
      <x:c r="C21" s="90" t="str">
        <x:v>Compare the three cases and funding/capacity implications.</x:v>
      </x:c>
      <x:c r="D21" s="90"/>
      <x:c r="E21" s="90"/>
      <x:c r="F21" s="90"/>
      <x:c r="G21" s="90"/>
      <x:c r="H21" s="90"/>
    </x:row>
    <x:row r="22">
      <x:c r="A22" s="89" t="str">
        <x:v>2</x:v>
      </x:c>
      <x:c r="B22" s="90" t="str">
        <x:v>Assumptions</x:v>
      </x:c>
      <x:c r="C22" s="90" t="str">
        <x:v>Choose the active case used by unit and channel economics.</x:v>
      </x:c>
      <x:c r="D22" s="90"/>
      <x:c r="E22" s="90"/>
      <x:c r="F22" s="90"/>
      <x:c r="G22" s="90"/>
      <x:c r="H22" s="90"/>
    </x:row>
    <x:row r="23">
      <x:c r="A23" s="89" t="str">
        <x:v>3</x:v>
      </x:c>
      <x:c r="B23" s="90" t="str">
        <x:v>Scenarios</x:v>
      </x:c>
      <x:c r="C23" s="90" t="str">
        <x:v>Edit blue cells; each column is a coherent case.</x:v>
      </x:c>
      <x:c r="D23" s="90"/>
      <x:c r="E23" s="90"/>
      <x:c r="F23" s="90"/>
      <x:c r="G23" s="90"/>
      <x:c r="H23" s="90"/>
    </x:row>
    <x:row r="24">
      <x:c r="A24" s="89" t="str">
        <x:v>4</x:v>
      </x:c>
      <x:c r="B24" s="90" t="str">
        <x:v>Monthly Model</x:v>
      </x:c>
      <x:c r="C24" s="90" t="str">
        <x:v>Trace the 36-month operating, margin, capacity, and cash mechanics.</x:v>
      </x:c>
      <x:c r="D24" s="90"/>
      <x:c r="E24" s="90"/>
      <x:c r="F24" s="90"/>
      <x:c r="G24" s="90"/>
      <x:c r="H24" s="90"/>
    </x:row>
    <x:row r="25">
      <x:c r="A25" s="89" t="str">
        <x:v>5</x:v>
      </x:c>
      <x:c r="B25" s="90" t="str">
        <x:v>Unit Economics</x:v>
      </x:c>
      <x:c r="C25" s="90" t="str">
        <x:v>Test offer-level margin before overhead.</x:v>
      </x:c>
      <x:c r="D25" s="90"/>
      <x:c r="E25" s="90"/>
      <x:c r="F25" s="90"/>
      <x:c r="G25" s="90"/>
      <x:c r="H25" s="90"/>
    </x:row>
    <x:row r="26">
      <x:c r="A26" s="89" t="str">
        <x:v>6</x:v>
      </x:c>
      <x:c r="B26" s="90" t="str">
        <x:v>Channel Economics</x:v>
      </x:c>
      <x:c r="C26" s="90" t="str">
        <x:v>Compare direct, referral, co-managed, and white-label seams.</x:v>
      </x:c>
      <x:c r="D26" s="90"/>
      <x:c r="E26" s="90"/>
      <x:c r="F26" s="90"/>
      <x:c r="G26" s="90"/>
      <x:c r="H26" s="90"/>
    </x:row>
    <x:row r="27">
      <x:c r="A27" s="89" t="str">
        <x:v>7</x:v>
      </x:c>
      <x:c r="B27" s="90" t="str">
        <x:v>Checks</x:v>
      </x:c>
      <x:c r="C27" s="90" t="str">
        <x:v>Confirm model mechanics reconcile.</x:v>
      </x:c>
      <x:c r="D27" s="90"/>
      <x:c r="E27" s="90"/>
      <x:c r="F27" s="90"/>
      <x:c r="G27" s="90"/>
      <x:c r="H27" s="90"/>
    </x:row>
    <x:row r="28">
      <x:c r="A28" s="89" t="str">
        <x:v>8</x:v>
      </x:c>
      <x:c r="B28" s="90" t="str">
        <x:v>Sources</x:v>
      </x:c>
      <x:c r="C28" s="90" t="str">
        <x:v>Audit internal hypotheses and external context.</x:v>
      </x:c>
      <x:c r="D28" s="90"/>
      <x:c r="E28" s="90"/>
      <x:c r="F28" s="90"/>
      <x:c r="G28" s="90"/>
      <x:c r="H28" s="90"/>
    </x:row>
    <x:row r="29">
      <x:c r="A29" s="89" t="str">
        <x:v>Legend</x:v>
      </x:c>
      <x:c r="B29" s="90" t="str">
        <x:v>Blue = editable input</x:v>
      </x:c>
      <x:c r="C29" s="90" t="str">
        <x:v>Green = cross-sheet link</x:v>
      </x:c>
      <x:c r="D29" s="90" t="str">
        <x:v>Black = calculation</x:v>
      </x:c>
      <x:c r="E29" s="90" t="str">
        <x:v>Yellow = attention / base case</x:v>
      </x:c>
      <x:c r="F29" s="90"/>
      <x:c r="G29" s="90"/>
      <x:c r="H29" s="90"/>
    </x:row>
  </x:sheetData>
  <x:mergeCells>
    <x:mergeCell ref="A1:H3"/>
    <x:mergeCell ref="A13:H13"/>
    <x:mergeCell ref="A14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3" t="str">
        <x:v>DIRTYWORKS.AI / INVESTMENT BASELINE</x:v>
      </x:c>
      <x:c r="B1" s="3"/>
      <x:c r="C1" s="3"/>
      <x:c r="D1" s="3"/>
      <x:c r="E1" s="3"/>
      <x:c r="F1" s="3"/>
      <x:c r="G1" s="3"/>
      <x:c r="H1" s="3"/>
      <x:c r="I1" s="84"/>
    </x:row>
    <x:row r="2" ht="30" customHeight="1">
      <x:c r="A2" s="91" t="str">
        <x:v>Three formula-driven cases. Base is a management hypothesis, not a forecast commitment.</x:v>
      </x:c>
      <x:c r="B2" s="91"/>
      <x:c r="C2" s="91"/>
      <x:c r="D2" s="91"/>
      <x:c r="E2" s="91"/>
      <x:c r="F2" s="91"/>
      <x:c r="G2" s="91"/>
      <x:c r="H2" s="91"/>
      <x:c r="I2" s="84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</x:row>
    <x:row r="4">
      <x:c r="A4" s="15" t="str">
        <x:v>Metric</x:v>
      </x:c>
      <x:c r="B4" s="52" t="str">
        <x:v>Downside</x:v>
      </x:c>
      <x:c r="C4" s="52" t="str">
        <x:v>Base</x:v>
      </x:c>
      <x:c r="D4" s="53" t="str">
        <x:v>Upside</x:v>
      </x:c>
      <x:c r="E4" s="84"/>
      <x:c r="F4" s="84"/>
      <x:c r="G4" s="84"/>
      <x:c r="H4" s="84"/>
      <x:c r="I4" s="84"/>
    </x:row>
    <x:row r="5">
      <x:c r="A5" s="84" t="str">
        <x:v>Month 18 MRR</x:v>
      </x:c>
      <x:c r="B5" s="92" t="n">
        <x:f>'Monthly Model'!T27</x:f>
        <x:v>1761.4439665651878</x:v>
      </x:c>
      <x:c r="C5" s="93" t="n">
        <x:f>'Monthly Model'!T107</x:f>
        <x:v>18885.139684395737</x:v>
      </x:c>
      <x:c r="D5" s="92" t="n">
        <x:f>'Monthly Model'!T187</x:f>
        <x:v>56515.70430989334</x:v>
      </x:c>
      <x:c r="E5" s="84"/>
      <x:c r="F5" s="84"/>
      <x:c r="G5" s="84"/>
      <x:c r="H5" s="84"/>
      <x:c r="I5" s="84"/>
    </x:row>
    <x:row r="6">
      <x:c r="A6" s="84" t="str">
        <x:v>Month 18 active managed accounts</x:v>
      </x:c>
      <x:c r="B6" s="94" t="n">
        <x:f>'Monthly Model'!T13</x:f>
        <x:v>0.8014578062449668</x:v>
      </x:c>
      <x:c r="C6" s="95" t="n">
        <x:f>'Monthly Model'!T93</x:f>
        <x:v>4.5267750554356825</x:v>
      </x:c>
      <x:c r="D6" s="94" t="n">
        <x:f>'Monthly Model'!T173</x:f>
        <x:v>10.33496165421208</x:v>
      </x:c>
      <x:c r="E6" s="84"/>
      <x:c r="F6" s="84"/>
      <x:c r="G6" s="84"/>
      <x:c r="H6" s="84"/>
      <x:c r="I6" s="84"/>
    </x:row>
    <x:row r="7">
      <x:c r="A7" s="84" t="str">
        <x:v>Month 18 normalized gross margin</x:v>
      </x:c>
      <x:c r="B7" s="96" t="n">
        <x:f>'Monthly Model'!T54</x:f>
        <x:v>0.07815894214769806</x:v>
      </x:c>
      <x:c r="C7" s="97" t="n">
        <x:f>'Monthly Model'!T134</x:f>
        <x:v>0.5842514731625237</x:v>
      </x:c>
      <x:c r="D7" s="96" t="n">
        <x:f>'Monthly Model'!T214</x:f>
        <x:v>0.7638700428916141</x:v>
      </x:c>
      <x:c r="E7" s="84"/>
      <x:c r="F7" s="84"/>
      <x:c r="G7" s="84"/>
      <x:c r="H7" s="84"/>
      <x:c r="I7" s="84"/>
    </x:row>
    <x:row r="8">
      <x:c r="A8" s="84" t="str">
        <x:v>Month 18 cash operating profit / (loss)</x:v>
      </x:c>
      <x:c r="B8" s="92" t="n">
        <x:f>'Monthly Model'!T67</x:f>
        <x:v>1644.4795784063485</x:v>
      </x:c>
      <x:c r="C8" s="93" t="n">
        <x:f>'Monthly Model'!T147</x:f>
        <x:v>16450.195621856452</x:v>
      </x:c>
      <x:c r="D8" s="92" t="n">
        <x:f>'Monthly Model'!T227</x:f>
        <x:v>55026.85224193359</x:v>
      </x:c>
      <x:c r="E8" s="84"/>
      <x:c r="F8" s="84"/>
      <x:c r="G8" s="84"/>
      <x:c r="H8" s="84"/>
      <x:c r="I8" s="84"/>
    </x:row>
    <x:row r="9">
      <x:c r="A9" s="84" t="str">
        <x:v>Month 36 MRR</x:v>
      </x:c>
      <x:c r="B9" s="92" t="n">
        <x:f>'Monthly Model'!AL27</x:f>
        <x:v>4833.50337823301</x:v>
      </x:c>
      <x:c r="C9" s="93" t="n">
        <x:f>'Monthly Model'!AL107</x:f>
        <x:v>55306.66163426955</x:v>
      </x:c>
      <x:c r="D9" s="92" t="n">
        <x:f>'Monthly Model'!AL187</x:f>
        <x:v>167650.63971486338</x:v>
      </x:c>
      <x:c r="E9" s="84"/>
      <x:c r="F9" s="84"/>
      <x:c r="G9" s="84"/>
      <x:c r="H9" s="84"/>
      <x:c r="I9" s="84"/>
    </x:row>
    <x:row r="10">
      <x:c r="A10" s="84" t="str">
        <x:v>Month 36 active managed accounts</x:v>
      </x:c>
      <x:c r="B10" s="94" t="n">
        <x:f>'Monthly Model'!AL13</x:f>
        <x:v>2.1992462363422556</x:v>
      </x:c>
      <x:c r="C10" s="95" t="n">
        <x:f>'Monthly Model'!AL93</x:f>
        <x:v>13.257027507839892</x:v>
      </x:c>
      <x:c r="D10" s="94" t="n">
        <x:f>'Monthly Model'!AL173</x:f>
        <x:v>30.658079093494145</x:v>
      </x:c>
      <x:c r="E10" s="84"/>
      <x:c r="F10" s="84"/>
      <x:c r="G10" s="84"/>
      <x:c r="H10" s="84"/>
      <x:c r="I10" s="84"/>
    </x:row>
    <x:row r="11">
      <x:c r="A11" s="84" t="str">
        <x:v>36-month cumulative revenue</x:v>
      </x:c>
      <x:c r="B11" s="92" t="n">
        <x:f>SUM('Monthly Model'!C28:AL28)</x:f>
        <x:v>157833.67623671083</x:v>
      </x:c>
      <x:c r="C11" s="93" t="n">
        <x:f>SUM('Monthly Model'!C108:AL108)</x:f>
        <x:v>1147210.7915223767</x:v>
      </x:c>
      <x:c r="D11" s="92" t="n">
        <x:f>SUM('Monthly Model'!C188:AL188)</x:f>
        <x:v>3233484.963261265</x:v>
      </x:c>
      <x:c r="E11" s="84"/>
      <x:c r="F11" s="84"/>
      <x:c r="G11" s="84"/>
      <x:c r="H11" s="84"/>
      <x:c r="I11" s="84"/>
    </x:row>
    <x:row r="12">
      <x:c r="A12" s="84" t="str">
        <x:v>Minimum ending cash</x:v>
      </x:c>
      <x:c r="B12" s="92" t="n">
        <x:f>MIN('Monthly Model'!C75:AL75)</x:f>
        <x:v>-5598.166854639262</x:v>
      </x:c>
      <x:c r="C12" s="93" t="n">
        <x:f>MIN('Monthly Model'!C155:AL155)</x:f>
        <x:v>-2211.7890625</x:v>
      </x:c>
      <x:c r="D12" s="92" t="n">
        <x:f>MIN('Monthly Model'!C235:AL235)</x:f>
        <x:v>-1999.7880000000005</x:v>
      </x:c>
      <x:c r="E12" s="84"/>
      <x:c r="F12" s="84"/>
      <x:c r="G12" s="84"/>
      <x:c r="H12" s="84"/>
      <x:c r="I12" s="84"/>
    </x:row>
    <x:row r="13">
      <x:c r="A13" s="84" t="str">
        <x:v>Planned sponsor capital</x:v>
      </x:c>
      <x:c r="B13" s="92" t="n">
        <x:f>'Monthly Model'!AL77</x:f>
        <x:v>5000</x:v>
      </x:c>
      <x:c r="C13" s="93" t="n">
        <x:f>'Monthly Model'!AL157</x:f>
        <x:v>42500</x:v>
      </x:c>
      <x:c r="D13" s="92" t="n">
        <x:f>'Monthly Model'!AL237</x:f>
        <x:v>50000</x:v>
      </x:c>
      <x:c r="E13" s="84"/>
      <x:c r="F13" s="84"/>
      <x:c r="G13" s="84"/>
      <x:c r="H13" s="84"/>
      <x:c r="I13" s="84"/>
    </x:row>
    <x:row r="14">
      <x:c r="A14" s="84" t="str">
        <x:v>Additional cash required above plan</x:v>
      </x:c>
      <x:c r="B14" s="92" t="n">
        <x:f>MAX(0,-MIN('Monthly Model'!C75:AL75))</x:f>
        <x:v>5598.166854639262</x:v>
      </x:c>
      <x:c r="C14" s="93" t="n">
        <x:f>MAX(0,-MIN('Monthly Model'!C155:AL155))</x:f>
        <x:v>2211.7890625</x:v>
      </x:c>
      <x:c r="D14" s="92" t="n">
        <x:f>MAX(0,-MIN('Monthly Model'!C235:AL235))</x:f>
        <x:v>1999.7880000000005</x:v>
      </x:c>
      <x:c r="E14" s="84"/>
      <x:c r="F14" s="84"/>
      <x:c r="G14" s="84"/>
      <x:c r="H14" s="84"/>
      <x:c r="I14" s="84"/>
    </x:row>
    <x:row r="15">
      <x:c r="A15" s="84" t="str">
        <x:v>Maximum flex hours in any month</x:v>
      </x:c>
      <x:c r="B15" s="94" t="n">
        <x:f>MAX('Monthly Model'!C42:AL42)</x:f>
        <x:v>0</x:v>
      </x:c>
      <x:c r="C15" s="95" t="n">
        <x:f>MAX('Monthly Model'!C122:AL122)</x:f>
        <x:v>82.44524018028665</x:v>
      </x:c>
      <x:c r="D15" s="94" t="n">
        <x:f>MAX('Monthly Model'!C202:AL202)</x:f>
        <x:v>208.2221472435354</x:v>
      </x:c>
      <x:c r="E15" s="84"/>
      <x:c r="F15" s="84"/>
      <x:c r="G15" s="84"/>
      <x:c r="H15" s="84"/>
      <x:c r="I15" s="84"/>
    </x:row>
    <x:row r="16">
      <x:c r="A16" s="84" t="str">
        <x:v>Month 36 normalized operating profit / (loss)</x:v>
      </x:c>
      <x:c r="B16" s="92" t="n">
        <x:f>'Monthly Model'!AL68</x:f>
        <x:v>-5506.851161917948</x:v>
      </x:c>
      <x:c r="C16" s="93" t="n">
        <x:f>'Monthly Model'!AL148</x:f>
        <x:v>33313.515324665765</x:v>
      </x:c>
      <x:c r="D16" s="92" t="n">
        <x:f>'Monthly Model'!AL228</x:f>
        <x:v>144331.54108631893</x:v>
      </x:c>
      <x:c r="E16" s="84"/>
      <x:c r="F16" s="84"/>
      <x:c r="G16" s="84"/>
      <x:c r="H16" s="84"/>
      <x:c r="I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</x:row>
    <x:row r="19" ht="22" customHeight="1">
      <x:c r="A19" s="63" t="str">
        <x:v>HOW TO READ THE CASES</x:v>
      </x:c>
      <x:c r="B19" s="63" t="str">
        <x:v>HOW TO READ THE CASES</x:v>
      </x:c>
      <x:c r="C19" s="63" t="str">
        <x:v>HOW TO READ THE CASES</x:v>
      </x:c>
      <x:c r="D19" s="63" t="str">
        <x:v>HOW TO READ THE CASES</x:v>
      </x:c>
      <x:c r="E19" s="84"/>
      <x:c r="F19" s="84"/>
      <x:c r="G19" s="84"/>
      <x:c r="H19" s="84"/>
      <x:c r="I19" s="84"/>
    </x:row>
    <x:row r="20">
      <x:c r="A20" s="89" t="str">
        <x:v>Downside</x:v>
      </x:c>
      <x:c r="B20" s="90" t="str">
        <x:v>Weak conversion, higher churn, discount pressure, and slow capacity build.</x:v>
      </x:c>
      <x:c r="C20" s="98" t="str">
        <x:v>Decision use</x:v>
      </x:c>
      <x:c r="D20" s="90" t="str">
        <x:v>Tests how quickly the experiment should stop or narrow.</x:v>
      </x:c>
      <x:c r="E20" s="84"/>
      <x:c r="F20" s="84"/>
      <x:c r="G20" s="84"/>
      <x:c r="H20" s="84"/>
      <x:c r="I20" s="84"/>
    </x:row>
    <x:row r="21">
      <x:c r="A21" s="89" t="str">
        <x:v>Base</x:v>
      </x:c>
      <x:c r="B21" s="90" t="str">
        <x:v>Coherent funnel to roughly five managed accounts by month 18, with staged capital.</x:v>
      </x:c>
      <x:c r="C21" s="98" t="str">
        <x:v>Decision use</x:v>
      </x:c>
      <x:c r="D21" s="90" t="str">
        <x:v>Operating plan to test, not a committed budget.</x:v>
      </x:c>
      <x:c r="E21" s="84"/>
      <x:c r="F21" s="84"/>
      <x:c r="G21" s="84"/>
      <x:c r="H21" s="84"/>
      <x:c r="I21" s="84"/>
    </x:row>
    <x:row r="22">
      <x:c r="A22" s="89" t="str">
        <x:v>Upside</x:v>
      </x:c>
      <x:c r="B22" s="90" t="str">
        <x:v>Faster acquisition, better mix, greater partner activity, and earlier contractors.</x:v>
      </x:c>
      <x:c r="C22" s="98" t="str">
        <x:v>Decision use</x:v>
      </x:c>
      <x:c r="D22" s="90" t="str">
        <x:v>Shows the delivery system and cash needed if demand arrives.</x:v>
      </x:c>
      <x:c r="E22" s="84"/>
      <x:c r="F22" s="84"/>
      <x:c r="G22" s="84"/>
      <x:c r="H22" s="84"/>
      <x:c r="I22" s="84"/>
    </x:row>
    <x:row r="23">
      <x:c r="A23" s="89" t="str">
        <x:v>Important</x:v>
      </x:c>
      <x:c r="B23" s="90" t="str">
        <x:v>Fractional contracts are planning averages. Real sales arrive unevenly.</x:v>
      </x:c>
      <x:c r="C23" s="98" t="str">
        <x:v>Constraint</x:v>
      </x:c>
      <x:c r="D23" s="90" t="str">
        <x:v>Capacity is preserved through flex subcontracting at a visible margin cost.</x:v>
      </x:c>
      <x:c r="E23" s="84"/>
      <x:c r="F23" s="84"/>
      <x:c r="G23" s="84"/>
      <x:c r="H23" s="84"/>
      <x:c r="I23" s="84"/>
    </x:row>
    <x:row r="24">
      <x:c r="A24" s="89" t="str">
        <x:v>Not modeled</x:v>
      </x:c>
      <x:c r="B24" s="90" t="str">
        <x:v>Income tax, GST, debt, depreciation, pass-through licences, or terminal value.</x:v>
      </x:c>
      <x:c r="C24" s="98" t="str">
        <x:v>Reason</x:v>
      </x:c>
      <x:c r="D24" s="90" t="str">
        <x:v>They do not improve the current validation decision.</x:v>
      </x:c>
      <x:c r="E24" s="84"/>
      <x:c r="F24" s="84"/>
      <x:c r="G24" s="84"/>
      <x:c r="H24" s="84"/>
      <x:c r="I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</x:row>
    <x:row r="28">
      <x:c r="A28" s="84" t="str">
        <x:v>Month</x:v>
      </x:c>
      <x:c r="B28" s="84" t="str">
        <x:v>Downside MRR</x:v>
      </x:c>
      <x:c r="C28" s="84" t="str">
        <x:v>Base MRR</x:v>
      </x:c>
      <x:c r="D28" s="84" t="str">
        <x:v>Upside MRR</x:v>
      </x:c>
      <x:c r="E28" s="84"/>
      <x:c r="F28" s="84" t="str">
        <x:v>Month</x:v>
      </x:c>
      <x:c r="G28" s="84" t="str">
        <x:v>Downside cash</x:v>
      </x:c>
      <x:c r="H28" s="84" t="str">
        <x:v>Base cash</x:v>
      </x:c>
      <x:c r="I28" s="84" t="str">
        <x:v>Upside cash</x:v>
      </x:c>
    </x:row>
    <x:row r="29">
      <x:c r="A29" s="84" t="str">
        <x:v>Sep-26</x:v>
      </x:c>
      <x:c r="B29" s="99" t="n">
        <x:f>'Monthly Model'!C27</x:f>
        <x:v>0</x:v>
      </x:c>
      <x:c r="C29" s="99" t="n">
        <x:f>'Monthly Model'!C107</x:f>
        <x:v>0</x:v>
      </x:c>
      <x:c r="D29" s="99" t="n">
        <x:f>'Monthly Model'!C187</x:f>
        <x:v>0</x:v>
      </x:c>
      <x:c r="E29" s="84"/>
      <x:c r="F29" s="84" t="str">
        <x:v>Sep-26</x:v>
      </x:c>
      <x:c r="G29" s="99" t="n">
        <x:f>'Monthly Model'!C75</x:f>
        <x:v>-725.6710000000003</x:v>
      </x:c>
      <x:c r="H29" s="99" t="n">
        <x:f>'Monthly Model'!C155</x:f>
        <x:v>-1956.4453125</x:v>
      </x:c>
      <x:c r="I29" s="99" t="n">
        <x:f>'Monthly Model'!C235</x:f>
        <x:v>-1999.7880000000005</x:v>
      </x:c>
    </x:row>
    <x:row r="30">
      <x:c r="A30" s="84" t="str">
        <x:v>Oct-26</x:v>
      </x:c>
      <x:c r="B30" s="99" t="n">
        <x:f>'Monthly Model'!D27</x:f>
        <x:v>0</x:v>
      </x:c>
      <x:c r="C30" s="99" t="n">
        <x:f>'Monthly Model'!D107</x:f>
        <x:v>0</x:v>
      </x:c>
      <x:c r="D30" s="99" t="n">
        <x:f>'Monthly Model'!D187</x:f>
        <x:v>0</x:v>
      </x:c>
      <x:c r="E30" s="84"/>
      <x:c r="F30" s="84" t="str">
        <x:v>Oct-26</x:v>
      </x:c>
      <x:c r="G30" s="99" t="n">
        <x:f>'Monthly Model'!D75</x:f>
        <x:v>-2074.4004900000004</x:v>
      </x:c>
      <x:c r="H30" s="99" t="n">
        <x:f>'Monthly Model'!D155</x:f>
        <x:v>-2211.7890625</x:v>
      </x:c>
      <x:c r="I30" s="99" t="n">
        <x:f>'Monthly Model'!D235</x:f>
        <x:v>684.5600299999978</x:v>
      </x:c>
    </x:row>
    <x:row r="31">
      <x:c r="A31" s="84" t="str">
        <x:v>Nov-26</x:v>
      </x:c>
      <x:c r="B31" s="99" t="n">
        <x:f>'Monthly Model'!E27</x:f>
        <x:v>65.38454999999999</x:v>
      </x:c>
      <x:c r="C31" s="99" t="n">
        <x:f>'Monthly Model'!E107</x:f>
        <x:v>619.5234375000001</x:v>
      </x:c>
      <x:c r="D31" s="99" t="n">
        <x:f>'Monthly Model'!E187</x:f>
        <x:v>2179.97766</x:v>
      </x:c>
      <x:c r="E31" s="84"/>
      <x:c r="F31" s="84" t="str">
        <x:v>Nov-26</x:v>
      </x:c>
      <x:c r="G31" s="99" t="n">
        <x:f>'Monthly Model'!E75</x:f>
        <x:v>-3315.308408625</x:v>
      </x:c>
      <x:c r="H31" s="99" t="n">
        <x:f>'Monthly Model'!E155</x:f>
        <x:v>-1812.07958984375</x:v>
      </x:c>
      <x:c r="I31" s="99" t="n">
        <x:f>'Monthly Model'!E235</x:f>
        <x:v>5617.029731599998</x:v>
      </x:c>
    </x:row>
    <x:row r="32">
      <x:c r="A32" s="84" t="str">
        <x:v>Dec-26</x:v>
      </x:c>
      <x:c r="B32" s="99" t="n">
        <x:f>'Monthly Model'!F27</x:f>
        <x:v>128.8075635</x:v>
      </x:c>
      <x:c r="C32" s="99" t="n">
        <x:f>'Monthly Model'!F107</x:f>
        <x:v>1229.7540234375</x:v>
      </x:c>
      <x:c r="D32" s="99" t="n">
        <x:f>'Monthly Model'!F187</x:f>
        <x:v>4338.1555434</x:v>
      </x:c>
      <x:c r="E32" s="84"/>
      <x:c r="F32" s="84" t="str">
        <x:v>Dec-26</x:v>
      </x:c>
      <x:c r="G32" s="99" t="n">
        <x:f>'Monthly Model'!F75</x:f>
        <x:v>-4241.836696266249</x:v>
      </x:c>
      <x:c r="H32" s="99" t="n">
        <x:f>'Monthly Model'!F155</x:f>
        <x:v>-85.03632568359308</x:v>
      </x:c>
      <x:c r="I32" s="99" t="n">
        <x:f>'Monthly Model'!F235</x:f>
        <x:v>13499.1845211965</x:v>
      </x:c>
    </x:row>
    <x:row r="33">
      <x:c r="A33" s="84" t="str">
        <x:v>Jan-27</x:v>
      </x:c>
      <x:c r="B33" s="99" t="n">
        <x:f>'Monthly Model'!G27</x:f>
        <x:v>190.32788659499997</x:v>
      </x:c>
      <x:c r="C33" s="99" t="n">
        <x:f>'Monthly Model'!G107</x:f>
        <x:v>1830.831150585938</x:v>
      </x:c>
      <x:c r="D33" s="99" t="n">
        <x:f>'Monthly Model'!G187</x:f>
        <x:v>6474.751647966001</x:v>
      </x:c>
      <x:c r="E33" s="84"/>
      <x:c r="F33" s="84" t="str">
        <x:v>Jan-27</x:v>
      </x:c>
      <x:c r="G33" s="99" t="n">
        <x:f>'Monthly Model'!G75</x:f>
        <x:v>-4759.094501853262</x:v>
      </x:c>
      <x:c r="H33" s="99" t="n">
        <x:f>'Monthly Model'!G155</x:f>
        <x:v>3943.831113732911</x:v>
      </x:c>
      <x:c r="I33" s="99" t="n">
        <x:f>'Monthly Model'!G235</x:f>
        <x:v>25825.74639790953</x:v>
      </x:c>
    </x:row>
    <x:row r="34">
      <x:c r="A34" s="84" t="str">
        <x:v>Feb-27</x:v>
      </x:c>
      <x:c r="B34" s="99" t="n">
        <x:f>'Monthly Model'!H27</x:f>
        <x:v>311.5409999971499</x:v>
      </x:c>
      <x:c r="C34" s="99" t="n">
        <x:f>'Monthly Model'!H107</x:f>
        <x:v>3061.1889958271486</x:v>
      </x:c>
      <x:c r="D34" s="99" t="n">
        <x:f>'Monthly Model'!H187</x:f>
        <x:v>9663.702131486341</x:v>
      </x:c>
      <x:c r="E34" s="84"/>
      <x:c r="F34" s="84" t="str">
        <x:v>Feb-27</x:v>
      </x:c>
      <x:c r="G34" s="99" t="n">
        <x:f>'Monthly Model'!H75</x:f>
        <x:v>-5122.0062394476645</x:v>
      </x:c>
      <x:c r="H34" s="99" t="n">
        <x:f>'Monthly Model'!H155</x:f>
        <x:v>9220.252357964417</x:v>
      </x:c>
      <x:c r="I34" s="99" t="n">
        <x:f>'Monthly Model'!H235</x:f>
        <x:v>41392.58085896794</x:v>
      </x:c>
    </x:row>
    <x:row r="35">
      <x:c r="A35" s="84" t="str">
        <x:v>Mar-27</x:v>
      </x:c>
      <x:c r="B35" s="99" t="n">
        <x:f>'Monthly Model'!I27</x:f>
        <x:v>429.11771999723544</x:v>
      </x:c>
      <x:c r="C35" s="99" t="n">
        <x:f>'Monthly Model'!I107</x:f>
        <x:v>4273.091473389742</x:v>
      </x:c>
      <x:c r="D35" s="99" t="n">
        <x:f>'Monthly Model'!I187</x:f>
        <x:v>12820.763110171476</x:v>
      </x:c>
      <x:c r="E35" s="84"/>
      <x:c r="F35" s="84" t="str">
        <x:v>Mar-27</x:v>
      </x:c>
      <x:c r="G35" s="99" t="n">
        <x:f>'Monthly Model'!I75</x:f>
        <x:v>-5380.754567089235</x:v>
      </x:c>
      <x:c r="H35" s="99" t="n">
        <x:f>'Monthly Model'!I155</x:f>
        <x:v>15668.844334313697</x:v>
      </x:c>
      <x:c r="I35" s="99" t="n">
        <x:f>'Monthly Model'!I235</x:f>
        <x:v>56412.7367024799</x:v>
      </x:c>
    </x:row>
    <x:row r="36">
      <x:c r="A36" s="84" t="str">
        <x:v>Apr-27</x:v>
      </x:c>
      <x:c r="B36" s="99" t="n">
        <x:f>'Monthly Model'!J27</x:f>
        <x:v>543.1671383973182</x:v>
      </x:c>
      <x:c r="C36" s="99" t="n">
        <x:f>'Monthly Model'!J107</x:f>
        <x:v>5466.815413788896</x:v>
      </x:c>
      <x:c r="D36" s="99" t="n">
        <x:f>'Monthly Model'!J187</x:f>
        <x:v>15946.253479069765</x:v>
      </x:c>
      <x:c r="E36" s="84"/>
      <x:c r="F36" s="84" t="str">
        <x:v>Apr-27</x:v>
      </x:c>
      <x:c r="G36" s="99" t="n">
        <x:f>'Monthly Model'!J75</x:f>
        <x:v>-5538.4643870765585</x:v>
      </x:c>
      <x:c r="H36" s="99" t="n">
        <x:f>'Monthly Model'!J155</x:f>
        <x:v>23272.02448179899</x:v>
      </x:c>
      <x:c r="I36" s="99" t="n">
        <x:f>'Monthly Model'!J235</x:f>
        <x:v>75073.84734547342</x:v>
      </x:c>
    </x:row>
    <x:row r="37">
      <x:c r="A37" s="84" t="str">
        <x:v>May-27</x:v>
      </x:c>
      <x:c r="B37" s="99" t="n">
        <x:f>'Monthly Model'!K27</x:f>
        <x:v>653.7950742453987</x:v>
      </x:c>
      <x:c r="C37" s="99" t="n">
        <x:f>'Monthly Model'!K107</x:f>
        <x:v>6642.633495082061</x:v>
      </x:c>
      <x:c r="D37" s="99" t="n">
        <x:f>'Monthly Model'!K187</x:f>
        <x:v>19853.913444279067</x:v>
      </x:c>
      <x:c r="E37" s="84"/>
      <x:c r="F37" s="84" t="str">
        <x:v>May-27</x:v>
      </x:c>
      <x:c r="G37" s="99" t="n">
        <x:f>'Monthly Model'!K75</x:f>
        <x:v>-5598.166854639262</x:v>
      </x:c>
      <x:c r="H37" s="99" t="n">
        <x:f>'Monthly Model'!K155</x:f>
        <x:v>32012.473977853253</x:v>
      </x:c>
      <x:c r="I37" s="99" t="n">
        <x:f>'Monthly Model'!K235</x:f>
        <x:v>96863.95887724534</x:v>
      </x:c>
    </x:row>
    <x:row r="38">
      <x:c r="A38" s="84" t="str">
        <x:v>Jun-27</x:v>
      </x:c>
      <x:c r="B38" s="99" t="n">
        <x:f>'Monthly Model'!L27</x:f>
        <x:v>761.1041720180367</x:v>
      </x:c>
      <x:c r="C38" s="99" t="n">
        <x:f>'Monthly Model'!L107</x:f>
        <x:v>7800.814305155831</x:v>
      </x:c>
      <x:c r="D38" s="99" t="n">
        <x:f>'Monthly Model'!L187</x:f>
        <x:v>23722.496809836273</x:v>
      </x:c>
      <x:c r="E38" s="84"/>
      <x:c r="F38" s="84" t="str">
        <x:v>Jun-27</x:v>
      </x:c>
      <x:c r="G38" s="99" t="n">
        <x:f>'Monthly Model'!L75</x:f>
        <x:v>-5562.802190350084</x:v>
      </x:c>
      <x:c r="H38" s="99" t="n">
        <x:f>'Monthly Model'!L155</x:f>
        <x:v>41873.133782247955</x:v>
      </x:c>
      <x:c r="I38" s="99" t="n">
        <x:f>'Monthly Model'!L235</x:f>
        <x:v>122431.95663282418</x:v>
      </x:c>
    </x:row>
    <x:row r="39">
      <x:c r="A39" s="84" t="str">
        <x:v>Jul-27</x:v>
      </x:c>
      <x:c r="B39" s="99" t="n">
        <x:f>'Monthly Model'!M27</x:f>
        <x:v>865.1939968574957</x:v>
      </x:c>
      <x:c r="C39" s="99" t="n">
        <x:f>'Monthly Model'!M107</x:f>
        <x:v>8941.622403078494</x:v>
      </x:c>
      <x:c r="D39" s="99" t="n">
        <x:f>'Monthly Model'!M187</x:f>
        <x:v>27552.394341737912</x:v>
      </x:c>
      <x:c r="E39" s="84"/>
      <x:c r="F39" s="84" t="str">
        <x:v>Jul-27</x:v>
      </x:c>
      <x:c r="G39" s="99" t="n">
        <x:f>'Monthly Model'!M75</x:f>
        <x:v>-5435.222408164582</x:v>
      </x:c>
      <x:c r="H39" s="99" t="n">
        <x:f>'Monthly Model'!M155</x:f>
        <x:v>52837.200740357985</x:v>
      </x:c>
      <x:c r="I39" s="99" t="n">
        <x:f>'Monthly Model'!M235</x:f>
        <x:v>151225.3183217847</x:v>
      </x:c>
    </x:row>
    <x:row r="40">
      <x:c r="A40" s="84" t="str">
        <x:v>Aug-27</x:v>
      </x:c>
      <x:c r="B40" s="99" t="n">
        <x:f>'Monthly Model'!N27</x:f>
        <x:v>966.1611269517705</x:v>
      </x:c>
      <x:c r="C40" s="99" t="n">
        <x:f>'Monthly Model'!N107</x:f>
        <x:v>10065.318379532315</x:v>
      </x:c>
      <x:c r="D40" s="99" t="n">
        <x:f>'Monthly Model'!N187</x:f>
        <x:v>31343.99289832054</x:v>
      </x:c>
      <x:c r="E40" s="84"/>
      <x:c r="F40" s="84" t="str">
        <x:v>Aug-27</x:v>
      </x:c>
      <x:c r="G40" s="99" t="n">
        <x:f>'Monthly Model'!N75</x:f>
        <x:v>-5218.193961619645</x:v>
      </x:c>
      <x:c r="H40" s="99" t="n">
        <x:f>'Monthly Model'!N155</x:f>
        <x:v>64666.0525900147</x:v>
      </x:c>
      <x:c r="I40" s="99" t="n">
        <x:f>'Monthly Model'!N235</x:f>
        <x:v>183211.79030479313</x:v>
      </x:c>
    </x:row>
    <x:row r="41">
      <x:c r="A41" s="84" t="str">
        <x:v>Sep-27</x:v>
      </x:c>
      <x:c r="B41" s="99" t="n">
        <x:f>'Monthly Model'!O27</x:f>
        <x:v>1064.0992431432178</x:v>
      </x:c>
      <x:c r="C41" s="99" t="n">
        <x:f>'Monthly Model'!O107</x:f>
        <x:v>11172.15891633933</x:v>
      </x:c>
      <x:c r="D41" s="99" t="n">
        <x:f>'Monthly Model'!O187</x:f>
        <x:v>35097.67546933733</x:v>
      </x:c>
      <x:c r="E41" s="84"/>
      <x:c r="F41" s="84" t="str">
        <x:v>Sep-27</x:v>
      </x:c>
      <x:c r="G41" s="99" t="n">
        <x:f>'Monthly Model'!O75</x:f>
        <x:v>-4640.071310646056</x:v>
      </x:c>
      <x:c r="H41" s="99" t="n">
        <x:f>'Monthly Model'!O155</x:f>
        <x:v>74540.76215020781</x:v>
      </x:c>
      <x:c r="I41" s="99" t="n">
        <x:f>'Monthly Model'!O235</x:f>
        <x:v>218811.466478909</x:v>
      </x:c>
    </x:row>
    <x:row r="42">
      <x:c r="A42" s="84" t="str">
        <x:v>Oct-27</x:v>
      </x:c>
      <x:c r="B42" s="99" t="n">
        <x:f>'Monthly Model'!P27</x:f>
        <x:v>1159.099215848921</x:v>
      </x:c>
      <x:c r="C42" s="99" t="n">
        <x:f>'Monthly Model'!P107</x:f>
        <x:v>12262.396845094241</x:v>
      </x:c>
      <x:c r="D42" s="99" t="n">
        <x:f>'Monthly Model'!P187</x:f>
        <x:v>38813.82121464396</x:v>
      </x:c>
      <x:c r="E42" s="84"/>
      <x:c r="F42" s="84" t="str">
        <x:v>Oct-27</x:v>
      </x:c>
      <x:c r="G42" s="99" t="n">
        <x:f>'Monthly Model'!P75</x:f>
        <x:v>-3600.8449013766754</x:v>
      </x:c>
      <x:c r="H42" s="99" t="n">
        <x:f>'Monthly Model'!P155</x:f>
        <x:v>85745.84487559179</x:v>
      </x:c>
      <x:c r="I42" s="99" t="n">
        <x:f>'Monthly Model'!P235</x:f>
        <x:v>258820.28730222117</x:v>
      </x:c>
    </x:row>
    <x:row r="43">
      <x:c r="A43" s="84" t="str">
        <x:v>Nov-27</x:v>
      </x:c>
      <x:c r="B43" s="99" t="n">
        <x:f>'Monthly Model'!Q27</x:f>
        <x:v>1316.6337393734534</x:v>
      </x:c>
      <x:c r="C43" s="99" t="n">
        <x:f>'Monthly Model'!Q107</x:f>
        <x:v>13955.804642417828</x:v>
      </x:c>
      <x:c r="D43" s="99" t="n">
        <x:f>'Monthly Model'!Q187</x:f>
        <x:v>43306.23000249751</x:v>
      </x:c>
      <x:c r="E43" s="84"/>
      <x:c r="F43" s="84" t="str">
        <x:v>Nov-27</x:v>
      </x:c>
      <x:c r="G43" s="99" t="n">
        <x:f>'Monthly Model'!Q75</x:f>
        <x:v>-2372.1595398853756</x:v>
      </x:c>
      <x:c r="H43" s="99" t="n">
        <x:f>'Monthly Model'!Q155</x:f>
        <x:v>98733.26185576404</x:v>
      </x:c>
      <x:c r="I43" s="99" t="n">
        <x:f>'Monthly Model'!Q235</x:f>
        <x:v>302631.0063144878</x:v>
      </x:c>
    </x:row>
    <x:row r="44">
      <x:c r="A44" s="84" t="str">
        <x:v>Dec-27</x:v>
      </x:c>
      <x:c r="B44" s="99" t="n">
        <x:f>'Monthly Model'!R27</x:f>
        <x:v>1469.44222719225</x:v>
      </x:c>
      <x:c r="C44" s="99" t="n">
        <x:f>'Monthly Model'!R107</x:f>
        <x:v>15623.81132278156</x:v>
      </x:c>
      <x:c r="D44" s="99" t="n">
        <x:f>'Monthly Model'!R187</x:f>
        <x:v>47753.71470247255</x:v>
      </x:c>
      <x:c r="E44" s="84"/>
      <x:c r="F44" s="84" t="str">
        <x:v>Dec-27</x:v>
      </x:c>
      <x:c r="G44" s="99" t="n">
        <x:f>'Monthly Model'!R75</x:f>
        <x:v>-1008.0982879888147</x:v>
      </x:c>
      <x:c r="H44" s="99" t="n">
        <x:f>'Monthly Model'!R155</x:f>
        <x:v>112864.27656560868</x:v>
      </x:c>
      <x:c r="I44" s="99" t="n">
        <x:f>'Monthly Model'!R235</x:f>
        <x:v>350187.19282975665</x:v>
      </x:c>
    </x:row>
    <x:row r="45">
      <x:c r="A45" s="84" t="str">
        <x:v>Jan-28</x:v>
      </x:c>
      <x:c r="B45" s="99" t="n">
        <x:f>'Monthly Model'!S27</x:f>
        <x:v>1617.6664603764825</x:v>
      </x:c>
      <x:c r="C45" s="99" t="n">
        <x:f>'Monthly Model'!S107</x:f>
        <x:v>17266.797902939834</x:v>
      </x:c>
      <x:c r="D45" s="99" t="n">
        <x:f>'Monthly Model'!S187</x:f>
        <x:v>52156.72455544783</x:v>
      </x:c>
      <x:c r="E45" s="84"/>
      <x:c r="F45" s="84" t="str">
        <x:v>Jan-28</x:v>
      </x:c>
      <x:c r="G45" s="99" t="n">
        <x:f>'Monthly Model'!S75</x:f>
        <x:v>487.2775776008493</x:v>
      </x:c>
      <x:c r="H45" s="99" t="n">
        <x:f>'Monthly Model'!S155</x:f>
        <x:v>128121.73503918067</x:v>
      </x:c>
      <x:c r="I45" s="99" t="n">
        <x:f>'Monthly Model'!S235</x:f>
        <x:v>401451.3921729979</x:v>
      </x:c>
    </x:row>
    <x:row r="46">
      <x:c r="A46" s="84" t="str">
        <x:v>Feb-28</x:v>
      </x:c>
      <x:c r="B46" s="99" t="n">
        <x:f>'Monthly Model'!T27</x:f>
        <x:v>1761.4439665651878</x:v>
      </x:c>
      <x:c r="C46" s="99" t="n">
        <x:f>'Monthly Model'!T107</x:f>
        <x:v>18885.139684395737</x:v>
      </x:c>
      <x:c r="D46" s="99" t="n">
        <x:f>'Monthly Model'!T187</x:f>
        <x:v>56515.70430989334</x:v>
      </x:c>
      <x:c r="E46" s="84"/>
      <x:c r="F46" s="84" t="str">
        <x:v>Feb-28</x:v>
      </x:c>
      <x:c r="G46" s="99" t="n">
        <x:f>'Monthly Model'!T75</x:f>
        <x:v>2110.028618472824</x:v>
      </x:c>
      <x:c r="H46" s="99" t="n">
        <x:f>'Monthly Model'!T155</x:f>
        <x:v>144488.7406200241</x:v>
      </x:c>
      <x:c r="I46" s="99" t="n">
        <x:f>'Monthly Model'!T235</x:f>
        <x:v>456386.52421593165</x:v>
      </x:c>
    </x:row>
    <x:row r="47">
      <x:c r="A47" s="84" t="str">
        <x:v>Mar-28</x:v>
      </x:c>
      <x:c r="B47" s="99" t="n">
        <x:f>'Monthly Model'!U27</x:f>
        <x:v>1900.9081475682324</x:v>
      </x:c>
      <x:c r="C47" s="99" t="n">
        <x:f>'Monthly Model'!U107</x:f>
        <x:v>20479.206339129803</x:v>
      </x:c>
      <x:c r="D47" s="99" t="n">
        <x:f>'Monthly Model'!U187</x:f>
        <x:v>60831.09426679442</x:v>
      </x:c>
      <x:c r="E47" s="84"/>
      <x:c r="F47" s="84" t="str">
        <x:v>Mar-28</x:v>
      </x:c>
      <x:c r="G47" s="99" t="n">
        <x:f>'Monthly Model'!U75</x:f>
        <x:v>4130.662579368639</x:v>
      </x:c>
      <x:c r="H47" s="99" t="n">
        <x:f>'Monthly Model'!U155</x:f>
        <x:v>162300.64228902984</x:v>
      </x:c>
      <x:c r="I47" s="99" t="n">
        <x:f>'Monthly Model'!U235</x:f>
        <x:v>515859.92963156116</x:v>
      </x:c>
    </x:row>
    <x:row r="48">
      <x:c r="A48" s="84" t="str">
        <x:v>Apr-28</x:v>
      </x:c>
      <x:c r="B48" s="99" t="n">
        <x:f>'Monthly Model'!V27</x:f>
        <x:v>2036.1884031411857</x:v>
      </x:c>
      <x:c r="C48" s="99" t="n">
        <x:f>'Monthly Model'!V107</x:f>
        <x:v>22049.361994042854</x:v>
      </x:c>
      <x:c r="D48" s="99" t="n">
        <x:f>'Monthly Model'!V187</x:f>
        <x:v>65103.330324126466</x:v>
      </x:c>
      <x:c r="E48" s="84"/>
      <x:c r="F48" s="84" t="str">
        <x:v>Apr-28</x:v>
      </x:c>
      <x:c r="G48" s="99" t="n">
        <x:f>'Monthly Model'!V75</x:f>
        <x:v>6648.085352687579</x:v>
      </x:c>
      <x:c r="H48" s="99" t="n">
        <x:f>'Monthly Model'!V155</x:f>
        <x:v>181884.09336268803</x:v>
      </x:c>
      <x:c r="I48" s="99" t="n">
        <x:f>'Monthly Model'!V235</x:f>
        <x:v>581390.016500982</x:v>
      </x:c>
    </x:row>
    <x:row r="49">
      <x:c r="A49" s="84" t="str">
        <x:v>May-28</x:v>
      </x:c>
      <x:c r="B49" s="99" t="n">
        <x:f>'Monthly Model'!W27</x:f>
        <x:v>2232.79480104695</x:v>
      </x:c>
      <x:c r="C49" s="99" t="n">
        <x:f>'Monthly Model'!W107</x:f>
        <x:v>24065.301251632216</x:v>
      </x:c>
      <x:c r="D49" s="99" t="n">
        <x:f>'Monthly Model'!W187</x:f>
        <x:v>70959.69302088518</x:v>
      </x:c>
      <x:c r="E49" s="84"/>
      <x:c r="F49" s="84" t="str">
        <x:v>May-28</x:v>
      </x:c>
      <x:c r="G49" s="99" t="n">
        <x:f>'Monthly Model'!W75</x:f>
        <x:v>9389.581580731952</x:v>
      </x:c>
      <x:c r="H49" s="99" t="n">
        <x:f>'Monthly Model'!W155</x:f>
        <x:v>202891.99081477258</x:v>
      </x:c>
      <x:c r="I49" s="99" t="n">
        <x:f>'Monthly Model'!W235</x:f>
        <x:v>651618.8223756669</x:v>
      </x:c>
    </x:row>
    <x:row r="50">
      <x:c r="A50" s="84" t="str">
        <x:v>Jun-28</x:v>
      </x:c>
      <x:c r="B50" s="99" t="n">
        <x:f>'Monthly Model'!X27</x:f>
        <x:v>2423.5030070155417</x:v>
      </x:c>
      <x:c r="C50" s="99" t="n">
        <x:f>'Monthly Model'!X107</x:f>
        <x:v>26051.001420357727</x:v>
      </x:c>
      <x:c r="D50" s="99" t="n">
        <x:f>'Monthly Model'!X187</x:f>
        <x:v>76757.49209067636</x:v>
      </x:c>
      <x:c r="E50" s="84"/>
      <x:c r="F50" s="84" t="str">
        <x:v>Jun-28</x:v>
      </x:c>
      <x:c r="G50" s="99" t="n">
        <x:f>'Monthly Model'!X75</x:f>
        <x:v>12300.029766609994</x:v>
      </x:c>
      <x:c r="H50" s="99" t="n">
        <x:f>'Monthly Model'!X155</x:f>
        <x:v>225261.2990042946</x:v>
      </x:c>
      <x:c r="I50" s="99" t="n">
        <x:f>'Monthly Model'!X235</x:f>
        <x:v>726462.5366574384</x:v>
      </x:c>
    </x:row>
    <x:row r="51">
      <x:c r="A51" s="84" t="str">
        <x:v>Jul-28</x:v>
      </x:c>
      <x:c r="B51" s="99" t="n">
        <x:f>'Monthly Model'!Y27</x:f>
        <x:v>2608.4899668050757</x:v>
      </x:c>
      <x:c r="C51" s="99" t="n">
        <x:f>'Monthly Model'!Y107</x:f>
        <x:v>28006.916086552363</x:v>
      </x:c>
      <x:c r="D51" s="99" t="n">
        <x:f>'Monthly Model'!Y187</x:f>
        <x:v>82497.31316976956</x:v>
      </x:c>
      <x:c r="E51" s="84"/>
      <x:c r="F51" s="84" t="str">
        <x:v>Jul-28</x:v>
      </x:c>
      <x:c r="G51" s="99" t="n">
        <x:f>'Monthly Model'!Y75</x:f>
        <x:v>15374.361351586693</x:v>
      </x:c>
      <x:c r="H51" s="99" t="n">
        <x:f>'Monthly Model'!Y155</x:f>
        <x:v>248971.59677019253</x:v>
      </x:c>
      <x:c r="I51" s="99" t="n">
        <x:f>'Monthly Model'!Y235</x:f>
        <x:v>805875.0102622255</x:v>
      </x:c>
    </x:row>
    <x:row r="52">
      <x:c r="A52" s="84" t="str">
        <x:v>Aug-28</x:v>
      </x:c>
      <x:c r="B52" s="99" t="n">
        <x:f>'Monthly Model'!Z27</x:f>
        <x:v>2787.9273178009234</x:v>
      </x:c>
      <x:c r="C52" s="99" t="n">
        <x:f>'Monthly Model'!Z107</x:f>
        <x:v>29933.49203275408</x:v>
      </x:c>
      <x:c r="D52" s="99" t="n">
        <x:f>'Monthly Model'!Z187</x:f>
        <x:v>88179.73603807189</x:v>
      </x:c>
      <x:c r="E52" s="84"/>
      <x:c r="F52" s="84" t="str">
        <x:v>Aug-28</x:v>
      </x:c>
      <x:c r="G52" s="99" t="n">
        <x:f>'Monthly Model'!Z75</x:f>
        <x:v>18607.65983368909</x:v>
      </x:c>
      <x:c r="H52" s="99" t="n">
        <x:f>'Monthly Model'!Z155</x:f>
        <x:v>274002.76926882076</x:v>
      </x:c>
      <x:c r="I52" s="99" t="n">
        <x:f>'Monthly Model'!Z235</x:f>
        <x:v>889810.5555967981</x:v>
      </x:c>
    </x:row>
    <x:row r="53">
      <x:c r="A53" s="84" t="str">
        <x:v>Sep-28</x:v>
      </x:c>
      <x:c r="B53" s="99" t="n">
        <x:f>'Monthly Model'!AA27</x:f>
        <x:v>2961.9815482668955</x:v>
      </x:c>
      <x:c r="C53" s="99" t="n">
        <x:f>'Monthly Model'!AA107</x:f>
        <x:v>31831.16933976276</x:v>
      </x:c>
      <x:c r="D53" s="99" t="n">
        <x:f>'Monthly Model'!AA187</x:f>
        <x:v>93805.33467769116</x:v>
      </x:c>
      <x:c r="E53" s="84"/>
      <x:c r="F53" s="84" t="str">
        <x:v>Sep-28</x:v>
      </x:c>
      <x:c r="G53" s="99" t="n">
        <x:f>'Monthly Model'!AA75</x:f>
        <x:v>22124.252206003417</x:v>
      </x:c>
      <x:c r="H53" s="99" t="n">
        <x:f>'Monthly Model'!AA155</x:f>
        <x:v>300481.28663484065</x:v>
      </x:c>
      <x:c r="I53" s="99" t="n">
        <x:f>'Monthly Model'!AA235</x:f>
        <x:v>979698.1169438582</x:v>
      </x:c>
    </x:row>
    <x:row r="54">
      <x:c r="A54" s="84" t="str">
        <x:v>Oct-28</x:v>
      </x:c>
      <x:c r="B54" s="99" t="n">
        <x:f>'Monthly Model'!AB27</x:f>
        <x:v>3130.8141518188886</x:v>
      </x:c>
      <x:c r="C54" s="99" t="n">
        <x:f>'Monthly Model'!AB107</x:f>
        <x:v>33700.38148716632</x:v>
      </x:c>
      <x:c r="D54" s="99" t="n">
        <x:f>'Monthly Model'!AB187</x:f>
        <x:v>99374.67733091424</x:v>
      </x:c>
      <x:c r="E54" s="84"/>
      <x:c r="F54" s="84" t="str">
        <x:v>Oct-28</x:v>
      </x:c>
      <x:c r="G54" s="99" t="n">
        <x:f>'Monthly Model'!AB75</x:f>
        <x:v>25967.800771823313</x:v>
      </x:c>
      <x:c r="H54" s="99" t="n">
        <x:f>'Monthly Model'!AB155</x:f>
        <x:v>328590.1618849015</x:v>
      </x:c>
      <x:c r="I54" s="99" t="n">
        <x:f>'Monthly Model'!AB235</x:f>
        <x:v>1076342.520393281</x:v>
      </x:c>
    </x:row>
    <x:row r="55">
      <x:c r="A55" s="84" t="str">
        <x:v>Nov-28</x:v>
      </x:c>
      <x:c r="B55" s="99" t="n">
        <x:f>'Monthly Model'!AC27</x:f>
        <x:v>3325.350977264322</x:v>
      </x:c>
      <x:c r="C55" s="99" t="n">
        <x:f>'Monthly Model'!AC107</x:f>
        <x:v>36010.89138985882</x:v>
      </x:c>
      <x:c r="D55" s="99" t="n">
        <x:f>'Monthly Model'!AC187</x:f>
        <x:v>106515.17555760514</x:v>
      </x:c>
      <x:c r="E55" s="84"/>
      <x:c r="F55" s="84" t="str">
        <x:v>Nov-28</x:v>
      </x:c>
      <x:c r="G55" s="99" t="n">
        <x:f>'Monthly Model'!AC75</x:f>
        <x:v>30007.173695543614</x:v>
      </x:c>
      <x:c r="H55" s="99" t="n">
        <x:f>'Monthly Model'!AC155</x:f>
        <x:v>358119.97236558644</x:v>
      </x:c>
      <x:c r="I55" s="99" t="n">
        <x:f>'Monthly Model'!AC235</x:f>
        <x:v>1178707.7837986264</x:v>
      </x:c>
    </x:row>
    <x:row r="56">
      <x:c r="A56" s="84" t="str">
        <x:v>Dec-28</x:v>
      </x:c>
      <x:c r="B56" s="99" t="n">
        <x:f>'Monthly Model'!AD27</x:f>
        <x:v>3514.051697946393</x:v>
      </x:c>
      <x:c r="C56" s="99" t="n">
        <x:f>'Monthly Model'!AD107</x:f>
        <x:v>38286.743644010945</x:v>
      </x:c>
      <x:c r="D56" s="99" t="n">
        <x:f>'Monthly Model'!AD187</x:f>
        <x:v>113584.26880202907</x:v>
      </x:c>
      <x:c r="E56" s="84"/>
      <x:c r="F56" s="84" t="str">
        <x:v>Dec-28</x:v>
      </x:c>
      <x:c r="G56" s="99" t="n">
        <x:f>'Monthly Model'!AD75</x:f>
        <x:v>34213.720108427304</x:v>
      </x:c>
      <x:c r="H56" s="99" t="n">
        <x:f>'Monthly Model'!AD155</x:f>
        <x:v>389007.7351031236</x:v>
      </x:c>
      <x:c r="I56" s="99" t="n">
        <x:f>'Monthly Model'!AD235</x:f>
        <x:v>1286699.8751522098</x:v>
      </x:c>
    </x:row>
    <x:row r="57">
      <x:c r="A57" s="84" t="str">
        <x:v>Jan-29</x:v>
      </x:c>
      <x:c r="B57" s="99" t="n">
        <x:f>'Monthly Model'!AE27</x:f>
        <x:v>3697.091397008</x:v>
      </x:c>
      <x:c r="C57" s="99" t="n">
        <x:f>'Monthly Model'!AE107</x:f>
        <x:v>40528.45811435078</x:v>
      </x:c>
      <x:c r="D57" s="99" t="n">
        <x:f>'Monthly Model'!AE187</x:f>
        <x:v>120582.67111400879</x:v>
      </x:c>
      <x:c r="E57" s="84"/>
      <x:c r="F57" s="84" t="str">
        <x:v>Jan-29</x:v>
      </x:c>
      <x:c r="G57" s="99" t="n">
        <x:f>'Monthly Model'!AE75</x:f>
        <x:v>38582.424805799485</x:v>
      </x:c>
      <x:c r="H57" s="99" t="n">
        <x:f>'Monthly Model'!AE155</x:f>
        <x:v>421233.0808136602</x:v>
      </x:c>
      <x:c r="I57" s="99" t="n">
        <x:f>'Monthly Model'!AE235</x:f>
        <x:v>1400262.526174549</x:v>
      </x:c>
    </x:row>
    <x:row r="58">
      <x:c r="A58" s="84" t="str">
        <x:v>Feb-29</x:v>
      </x:c>
      <x:c r="B58" s="99" t="n">
        <x:f>'Monthly Model'!AF27</x:f>
        <x:v>3874.6399050977607</x:v>
      </x:c>
      <x:c r="C58" s="99" t="n">
        <x:f>'Monthly Model'!AF107</x:f>
        <x:v>42736.54686763552</x:v>
      </x:c>
      <x:c r="D58" s="99" t="n">
        <x:f>'Monthly Model'!AF187</x:f>
        <x:v>127511.0894028687</x:v>
      </x:c>
      <x:c r="E58" s="84"/>
      <x:c r="F58" s="84" t="str">
        <x:v>Feb-29</x:v>
      </x:c>
      <x:c r="G58" s="99" t="n">
        <x:f>'Monthly Model'!AF75</x:f>
        <x:v>43108.4230391255</x:v>
      </x:c>
      <x:c r="H58" s="99" t="n">
        <x:f>'Monthly Model'!AF155</x:f>
        <x:v>454775.94575260126</x:v>
      </x:c>
      <x:c r="I58" s="99" t="n">
        <x:f>'Monthly Model'!AF235</x:f>
        <x:v>1519340.0312689566</x:v>
      </x:c>
    </x:row>
    <x:row r="59">
      <x:c r="A59" s="84" t="str">
        <x:v>Mar-29</x:v>
      </x:c>
      <x:c r="B59" s="99" t="n">
        <x:f>'Monthly Model'!AG27</x:f>
        <x:v>4046.861957944827</x:v>
      </x:c>
      <x:c r="C59" s="99" t="n">
        <x:f>'Monthly Model'!AG107</x:f>
        <x:v>44911.51428962099</x:v>
      </x:c>
      <x:c r="D59" s="99" t="n">
        <x:f>'Monthly Model'!AG187</x:f>
        <x:v>134370.22350884002</x:v>
      </x:c>
      <x:c r="E59" s="84"/>
      <x:c r="F59" s="84" t="str">
        <x:v>Mar-29</x:v>
      </x:c>
      <x:c r="G59" s="99" t="n">
        <x:f>'Monthly Model'!AG75</x:f>
        <x:v>47786.99600232673</x:v>
      </x:c>
      <x:c r="H59" s="99" t="n">
        <x:f>'Monthly Model'!AG155</x:f>
        <x:v>489616.5671315207</x:v>
      </x:c>
      <x:c r="I59" s="99" t="n">
        <x:f>'Monthly Model'!AG235</x:f>
        <x:v>1643877.241894712</x:v>
      </x:c>
    </x:row>
    <x:row r="60">
      <x:c r="A60" s="84" t="str">
        <x:v>Apr-29</x:v>
      </x:c>
      <x:c r="B60" s="99" t="n">
        <x:f>'Monthly Model'!AH27</x:f>
        <x:v>4213.917349206482</x:v>
      </x:c>
      <x:c r="C60" s="99" t="n">
        <x:f>'Monthly Model'!AH107</x:f>
        <x:v>47053.85720027668</x:v>
      </x:c>
      <x:c r="D60" s="99" t="n">
        <x:f>'Monthly Model'!AH187</x:f>
        <x:v>141160.76627375162</x:v>
      </x:c>
      <x:c r="E60" s="84"/>
      <x:c r="F60" s="84" t="str">
        <x:v>Apr-29</x:v>
      </x:c>
      <x:c r="G60" s="99" t="n">
        <x:f>'Monthly Model'!AH75</x:f>
        <x:v>52613.56645350692</x:v>
      </x:c>
      <x:c r="H60" s="99" t="n">
        <x:f>'Monthly Model'!AH155</x:f>
        <x:v>525735.4786038189</x:v>
      </x:c>
      <x:c r="I60" s="99" t="n">
        <x:f>'Monthly Model'!AH235</x:f>
        <x:v>1773819.5609965012</x:v>
      </x:c>
    </x:row>
    <x:row r="61">
      <x:c r="A61" s="84" t="str">
        <x:v>May-29</x:v>
      </x:c>
      <x:c r="B61" s="99" t="n">
        <x:f>'Monthly Model'!AI27</x:f>
        <x:v>4375.961078730289</x:v>
      </x:c>
      <x:c r="C61" s="99" t="n">
        <x:f>'Monthly Model'!AI107</x:f>
        <x:v>49164.06496727253</x:v>
      </x:c>
      <x:c r="D61" s="99" t="n">
        <x:f>'Monthly Model'!AI187</x:f>
        <x:v>147883.40361101413</x:v>
      </x:c>
      <x:c r="E61" s="84"/>
      <x:c r="F61" s="84" t="str">
        <x:v>May-29</x:v>
      </x:c>
      <x:c r="G61" s="99" t="n">
        <x:f>'Monthly Model'!AI75</x:f>
        <x:v>57583.69446802671</x:v>
      </x:c>
      <x:c r="H61" s="99" t="n">
        <x:f>'Monthly Model'!AI155</x:f>
        <x:v>563113.5058180952</x:v>
      </x:c>
      <x:c r="I61" s="99" t="n">
        <x:f>'Monthly Model'!AI235</x:f>
        <x:v>1909112.9374895643</x:v>
      </x:c>
    </x:row>
    <x:row r="62">
      <x:c r="A62" s="84" t="str">
        <x:v>Jun-29</x:v>
      </x:c>
      <x:c r="B62" s="99" t="n">
        <x:f>'Monthly Model'!AJ27</x:f>
        <x:v>4533.14349636838</x:v>
      </x:c>
      <x:c r="C62" s="99" t="n">
        <x:f>'Monthly Model'!AJ107</x:f>
        <x:v>51242.61961776344</x:v>
      </x:c>
      <x:c r="D62" s="99" t="n">
        <x:f>'Monthly Model'!AJ187</x:f>
        <x:v>154538.81457490395</x:v>
      </x:c>
      <x:c r="E62" s="84"/>
      <x:c r="F62" s="84" t="str">
        <x:v>Jun-29</x:v>
      </x:c>
      <x:c r="G62" s="99" t="n">
        <x:f>'Monthly Model'!AJ75</x:f>
        <x:v>62693.07331898591</x:v>
      </x:c>
      <x:c r="H62" s="99" t="n">
        <x:f>'Monthly Model'!AJ155</x:f>
        <x:v>601731.7620382197</x:v>
      </x:c>
      <x:c r="I62" s="99" t="n">
        <x:f>'Monthly Model'!AJ235</x:f>
        <x:v>2049703.8607999883</x:v>
      </x:c>
    </x:row>
    <x:row r="63">
      <x:c r="A63" s="84" t="str">
        <x:v>Jul-29</x:v>
      </x:c>
      <x:c r="B63" s="99" t="n">
        <x:f>'Monthly Model'!AK27</x:f>
        <x:v>4685.610441477329</x:v>
      </x:c>
      <x:c r="C63" s="99" t="n">
        <x:f>'Monthly Model'!AK107</x:f>
        <x:v>53289.995948497</x:v>
      </x:c>
      <x:c r="D63" s="99" t="n">
        <x:f>'Monthly Model'!AK187</x:f>
        <x:v>161127.67142915493</x:v>
      </x:c>
      <x:c r="E63" s="84"/>
      <x:c r="F63" s="84" t="str">
        <x:v>Jul-29</x:v>
      </x:c>
      <x:c r="G63" s="99" t="n">
        <x:f>'Monthly Model'!AK75</x:f>
        <x:v>67937.52548129133</x:v>
      </x:c>
      <x:c r="H63" s="99" t="n">
        <x:f>'Monthly Model'!AK155</x:f>
        <x:v>641571.6438291048</x:v>
      </x:c>
      <x:c r="I63" s="99" t="n">
        <x:f>'Monthly Model'!AK235</x:f>
        <x:v>2195539.3554595998</x:v>
      </x:c>
    </x:row>
    <x:row r="64">
      <x:c r="A64" s="84" t="str">
        <x:v>Aug-29</x:v>
      </x:c>
      <x:c r="B64" s="99" t="n">
        <x:f>'Monthly Model'!AL27</x:f>
        <x:v>4833.50337823301</x:v>
      </x:c>
      <x:c r="C64" s="99" t="n">
        <x:f>'Monthly Model'!AL107</x:f>
        <x:v>55306.66163426955</x:v>
      </x:c>
      <x:c r="D64" s="99" t="n">
        <x:f>'Monthly Model'!AL187</x:f>
        <x:v>167650.63971486338</x:v>
      </x:c>
      <x:c r="E64" s="84"/>
      <x:c r="F64" s="84" t="str">
        <x:v>Aug-29</x:v>
      </x:c>
      <x:c r="G64" s="99" t="n">
        <x:f>'Monthly Model'!AL75</x:f>
        <x:v>73241.65716609341</x:v>
      </x:c>
      <x:c r="H64" s="99" t="n">
        <x:f>'Monthly Model'!AL155</x:f>
        <x:v>682614.8268071893</x:v>
      </x:c>
      <x:c r="I64" s="99" t="n">
        <x:f>'Monthly Model'!AL235</x:f>
        <x:v>2346566.975754907</x:v>
      </x:c>
    </x:row>
  </x:sheetData>
  <x:mergeCells>
    <x:mergeCell ref="A1:H1"/>
    <x:mergeCell ref="A2:H2"/>
    <x:mergeCell ref="A19:D19"/>
  </x:mergeCells>
  <x:pageMargins left="0.7" right="0.7" top="0.75" bottom="0.75" header="0.3" footer="0.3"/>
  <x:drawing xmlns:r="http://schemas.openxmlformats.org/officeDocument/2006/relationships" r:id="R62c068fa561c409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8" hidden="0" customWidth="1"/>
    <x:col min="3" max="3" width="22" hidden="0" customWidth="1"/>
    <x:col min="4" max="4" width="68" hidden="0" customWidth="1"/>
  </x:cols>
  <x:sheetData>
    <x:row r="1" ht="32" customHeight="1">
      <x:c r="A1" s="3" t="str">
        <x:v>DIRTYWORKS.AI / ACTIVE CASE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91" t="str">
        <x:v>Change B4 to switch the active case used by Unit Economics and Channel Economics. Dashboard compares all three cases.</x:v>
      </x:c>
      <x:c r="B2" s="91"/>
      <x:c r="C2" s="91"/>
      <x:c r="D2" s="91"/>
      <x:c r="E2" s="91"/>
      <x:c r="F2" s="91"/>
      <x:c r="G2" s="91"/>
      <x:c r="H2" s="91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>
      <x:c r="A4" s="84" t="str">
        <x:v>Active scenario</x:v>
      </x:c>
      <x:c r="B4" s="100" t="str">
        <x:v>Base</x:v>
      </x:c>
      <x:c r="C4" s="84"/>
      <x:c r="D4" s="84"/>
      <x:c r="E4" s="84"/>
      <x:c r="F4" s="84"/>
      <x:c r="G4" s="84"/>
      <x:c r="H4" s="84"/>
    </x:row>
    <x:row r="5">
      <x:c r="A5" s="84"/>
      <x:c r="B5" s="84"/>
      <x:c r="C5" s="84"/>
      <x:c r="D5" s="84"/>
      <x:c r="E5" s="84"/>
      <x:c r="F5" s="84"/>
      <x:c r="G5" s="84"/>
      <x:c r="H5" s="84"/>
    </x:row>
    <x:row r="6">
      <x:c r="A6" s="15" t="str">
        <x:v>Driver</x:v>
      </x:c>
      <x:c r="B6" s="16" t="str">
        <x:v>Active value</x:v>
      </x:c>
      <x:c r="C6" s="16" t="str">
        <x:v>Unit</x:v>
      </x:c>
      <x:c r="D6" s="17" t="str">
        <x:v>Model note</x:v>
      </x:c>
      <x:c r="E6" s="84"/>
      <x:c r="F6" s="84"/>
      <x:c r="G6" s="84"/>
      <x:c r="H6" s="84"/>
    </x:row>
    <x:row r="7">
      <x:c r="A7" s="84" t="str">
        <x:v>Price multiplier</x:v>
      </x:c>
      <x:c r="B7" s="101" t="n">
        <x:f>INDEX('Scenarios'!$C$5:$E$5,1,MATCH($B$4,'Scenarios'!$C$4:$E$4,0))</x:f>
        <x:v>1</x:v>
      </x:c>
      <x:c r="C7" s="84" t="str">
        <x:v>x</x:v>
      </x:c>
      <x:c r="D7" s="102" t="str">
        <x:v>Tests discount pressure versus modest pricing power.</x:v>
      </x:c>
      <x:c r="E7" s="84"/>
      <x:c r="F7" s="84"/>
      <x:c r="G7" s="84"/>
      <x:c r="H7" s="84"/>
    </x:row>
    <x:row r="8">
      <x:c r="A8" s="84" t="str">
        <x:v>Channel share</x:v>
      </x:c>
      <x:c r="B8" s="103" t="n">
        <x:f>INDEX('Scenarios'!$C$6:$E$6,1,MATCH($B$4,'Scenarios'!$C$4:$E$4,0))</x:f>
        <x:v>0.25</x:v>
      </x:c>
      <x:c r="C8" s="84" t="str">
        <x:v>% of volume</x:v>
      </x:c>
      <x:c r="D8" s="102" t="str">
        <x:v>Weighted share sold through partner economics.</x:v>
      </x:c>
      <x:c r="E8" s="84"/>
      <x:c r="F8" s="84"/>
      <x:c r="G8" s="84"/>
      <x:c r="H8" s="84"/>
    </x:row>
    <x:row r="9">
      <x:c r="A9" s="84" t="str">
        <x:v>Channel discount</x:v>
      </x:c>
      <x:c r="B9" s="103" t="n">
        <x:f>INDEX('Scenarios'!$C$7:$E$7,1,MATCH($B$4,'Scenarios'!$C$4:$E$4,0))</x:f>
        <x:v>0.25</x:v>
      </x:c>
      <x:c r="C9" s="84" t="str">
        <x:v>% of Dirtyworks.ai price</x:v>
      </x:c>
      <x:c r="D9" s="102" t="str">
        <x:v>Average revenue reduction on channel-sourced work.</x:v>
      </x:c>
      <x:c r="E9" s="84"/>
      <x:c r="F9" s="84"/>
      <x:c r="G9" s="84"/>
      <x:c r="H9" s="84"/>
    </x:row>
    <x:row r="10">
      <x:c r="A10" s="84" t="str">
        <x:v>Monthly recurring churn</x:v>
      </x:c>
      <x:c r="B10" s="103" t="n">
        <x:f>INDEX('Scenarios'!$C$8:$E$8,1,MATCH($B$4,'Scenarios'!$C$4:$E$4,0))</x:f>
        <x:v>0.015</x:v>
      </x:c>
      <x:c r="C10" s="84" t="str">
        <x:v>%</x:v>
      </x:c>
      <x:c r="D10" s="102" t="str">
        <x:v>Early-stage logo churn; no expansion MRR is assumed.</x:v>
      </x:c>
      <x:c r="E10" s="84"/>
      <x:c r="F10" s="84"/>
      <x:c r="G10" s="84"/>
      <x:c r="H10" s="84"/>
    </x:row>
    <x:row r="11">
      <x:c r="A11" s="84" t="str">
        <x:v>Review price</x:v>
      </x:c>
      <x:c r="B11" s="104" t="n">
        <x:f>INDEX('Scenarios'!$C$9:$E$9,1,MATCH($B$4,'Scenarios'!$C$4:$E$4,0))</x:f>
        <x:v>2500</x:v>
      </x:c>
      <x:c r="C11" s="84" t="str">
        <x:v>$</x:v>
      </x:c>
      <x:c r="D11" s="102" t="str">
        <x:v>Knowledge Reliability Review list price.</x:v>
      </x:c>
      <x:c r="E11" s="84"/>
      <x:c r="F11" s="84"/>
      <x:c r="G11" s="84"/>
      <x:c r="H11" s="84"/>
    </x:row>
    <x:row r="12">
      <x:c r="A12" s="84" t="str">
        <x:v>Launch price</x:v>
      </x:c>
      <x:c r="B12" s="104" t="n">
        <x:f>INDEX('Scenarios'!$C$10:$E$10,1,MATCH($B$4,'Scenarios'!$C$4:$E$4,0))</x:f>
        <x:v>9500</x:v>
      </x:c>
      <x:c r="C12" s="84" t="str">
        <x:v>$</x:v>
      </x:c>
      <x:c r="D12" s="102" t="str">
        <x:v>Managed Knowledge Launch reference scope.</x:v>
      </x:c>
      <x:c r="E12" s="84"/>
      <x:c r="F12" s="84"/>
      <x:c r="G12" s="84"/>
      <x:c r="H12" s="84"/>
    </x:row>
    <x:row r="13">
      <x:c r="A13" s="84" t="str">
        <x:v>Core MRR</x:v>
      </x:c>
      <x:c r="B13" s="104" t="n">
        <x:f>INDEX('Scenarios'!$C$11:$E$11,1,MATCH($B$4,'Scenarios'!$C$4:$E$4,0))</x:f>
        <x:v>2500</x:v>
      </x:c>
      <x:c r="C13" s="84" t="str">
        <x:v>$ / month</x:v>
      </x:c>
      <x:c r="D13" s="102" t="str">
        <x:v>Managed Knowledge Operations — Core.</x:v>
      </x:c>
      <x:c r="E13" s="84"/>
      <x:c r="F13" s="84"/>
      <x:c r="G13" s="84"/>
      <x:c r="H13" s="84"/>
    </x:row>
    <x:row r="14">
      <x:c r="A14" s="84" t="str">
        <x:v>Operate MRR</x:v>
      </x:c>
      <x:c r="B14" s="104" t="n">
        <x:f>INDEX('Scenarios'!$C$12:$E$12,1,MATCH($B$4,'Scenarios'!$C$4:$E$4,0))</x:f>
        <x:v>4500</x:v>
      </x:c>
      <x:c r="C14" s="84" t="str">
        <x:v>$ / month</x:v>
      </x:c>
      <x:c r="D14" s="102" t="str">
        <x:v>Managed Knowledge Operations — Operate.</x:v>
      </x:c>
      <x:c r="E14" s="84"/>
      <x:c r="F14" s="84"/>
      <x:c r="G14" s="84"/>
      <x:c r="H14" s="84"/>
    </x:row>
    <x:row r="15">
      <x:c r="A15" s="84" t="str">
        <x:v>Scale MRR</x:v>
      </x:c>
      <x:c r="B15" s="104" t="n">
        <x:f>INDEX('Scenarios'!$C$13:$E$13,1,MATCH($B$4,'Scenarios'!$C$4:$E$4,0))</x:f>
        <x:v>7500</x:v>
      </x:c>
      <x:c r="C15" s="84" t="str">
        <x:v>$ / month</x:v>
      </x:c>
      <x:c r="D15" s="102" t="str">
        <x:v>Managed Knowledge Operations — Scale.</x:v>
      </x:c>
      <x:c r="E15" s="84"/>
      <x:c r="F15" s="84"/>
      <x:c r="G15" s="84"/>
      <x:c r="H15" s="84"/>
    </x:row>
    <x:row r="16">
      <x:c r="A16" s="84" t="str">
        <x:v>Core package mix</x:v>
      </x:c>
      <x:c r="B16" s="103" t="n">
        <x:f>INDEX('Scenarios'!$C$14:$E$14,1,MATCH($B$4,'Scenarios'!$C$4:$E$4,0))</x:f>
        <x:v>0.25</x:v>
      </x:c>
      <x:c r="C16" s="84" t="str">
        <x:v>%</x:v>
      </x:c>
      <x:c r="D16" s="102" t="str">
        <x:v>Share of active recurring accounts.</x:v>
      </x:c>
      <x:c r="E16" s="84"/>
      <x:c r="F16" s="84"/>
      <x:c r="G16" s="84"/>
      <x:c r="H16" s="84"/>
    </x:row>
    <x:row r="17">
      <x:c r="A17" s="84" t="str">
        <x:v>Operate package mix</x:v>
      </x:c>
      <x:c r="B17" s="103" t="n">
        <x:f>INDEX('Scenarios'!$C$15:$E$15,1,MATCH($B$4,'Scenarios'!$C$4:$E$4,0))</x:f>
        <x:v>0.6</x:v>
      </x:c>
      <x:c r="C17" s="84" t="str">
        <x:v>%</x:v>
      </x:c>
      <x:c r="D17" s="102" t="str">
        <x:v>Share of active recurring accounts.</x:v>
      </x:c>
      <x:c r="E17" s="84"/>
      <x:c r="F17" s="84"/>
      <x:c r="G17" s="84"/>
      <x:c r="H17" s="84"/>
    </x:row>
    <x:row r="18">
      <x:c r="A18" s="84" t="str">
        <x:v>Scale package mix</x:v>
      </x:c>
      <x:c r="B18" s="103" t="n">
        <x:f>INDEX('Scenarios'!$C$16:$E$16,1,MATCH($B$4,'Scenarios'!$C$4:$E$4,0))</x:f>
        <x:v>0.15</x:v>
      </x:c>
      <x:c r="C18" s="84" t="str">
        <x:v>%</x:v>
      </x:c>
      <x:c r="D18" s="102" t="str">
        <x:v>Share of active recurring accounts.</x:v>
      </x:c>
      <x:c r="E18" s="84"/>
      <x:c r="F18" s="84"/>
      <x:c r="G18" s="84"/>
      <x:c r="H18" s="84"/>
    </x:row>
    <x:row r="19">
      <x:c r="A19" s="84" t="str">
        <x:v>Review-to-launch conversion</x:v>
      </x:c>
      <x:c r="B19" s="103" t="n">
        <x:f>INDEX('Scenarios'!$C$17:$E$17,1,MATCH($B$4,'Scenarios'!$C$4:$E$4,0))</x:f>
        <x:v>0.6</x:v>
      </x:c>
      <x:c r="C19" s="84" t="str">
        <x:v>%</x:v>
      </x:c>
      <x:c r="D19" s="102" t="str">
        <x:v>One-month lag in the model.</x:v>
      </x:c>
      <x:c r="E19" s="84"/>
      <x:c r="F19" s="84"/>
      <x:c r="G19" s="84"/>
      <x:c r="H19" s="84"/>
    </x:row>
    <x:row r="20">
      <x:c r="A20" s="84" t="str">
        <x:v>Launch-to-managed conversion</x:v>
      </x:c>
      <x:c r="B20" s="103" t="n">
        <x:f>INDEX('Scenarios'!$C$18:$E$18,1,MATCH($B$4,'Scenarios'!$C$4:$E$4,0))</x:f>
        <x:v>0.75</x:v>
      </x:c>
      <x:c r="C20" s="84" t="str">
        <x:v>%</x:v>
      </x:c>
      <x:c r="D20" s="102" t="str">
        <x:v>One additional month of lag in the model.</x:v>
      </x:c>
      <x:c r="E20" s="84"/>
      <x:c r="F20" s="84"/>
      <x:c r="G20" s="84"/>
      <x:c r="H20" s="84"/>
    </x:row>
    <x:row r="21">
      <x:c r="A21" s="84" t="str">
        <x:v>Annual expansion incidence</x:v>
      </x:c>
      <x:c r="B21" s="103" t="n">
        <x:f>INDEX('Scenarios'!$C$19:$E$19,1,MATCH($B$4,'Scenarios'!$C$4:$E$4,0))</x:f>
        <x:v>0.2</x:v>
      </x:c>
      <x:c r="C21" s="84" t="str">
        <x:v>% of active accounts</x:v>
      </x:c>
      <x:c r="D21" s="102" t="str">
        <x:v>Expected expansion projects per active account per year.</x:v>
      </x:c>
      <x:c r="E21" s="84"/>
      <x:c r="F21" s="84"/>
      <x:c r="G21" s="84"/>
      <x:c r="H21" s="84"/>
    </x:row>
    <x:row r="22">
      <x:c r="A22" s="84" t="str">
        <x:v>Average expansion fee</x:v>
      </x:c>
      <x:c r="B22" s="104" t="n">
        <x:f>INDEX('Scenarios'!$C$20:$E$20,1,MATCH($B$4,'Scenarios'!$C$4:$E$4,0))</x:f>
        <x:v>7500</x:v>
      </x:c>
      <x:c r="C22" s="84" t="str">
        <x:v>$</x:v>
      </x:c>
      <x:c r="D22" s="102" t="str">
        <x:v>Knowledge repair, domain launch, integration, or workflow work.</x:v>
      </x:c>
      <x:c r="E22" s="84"/>
      <x:c r="F22" s="84"/>
      <x:c r="G22" s="84"/>
      <x:c r="H22" s="84"/>
    </x:row>
    <x:row r="23">
      <x:c r="A23" s="84" t="str">
        <x:v>Partner enablement projects — year 1</x:v>
      </x:c>
      <x:c r="B23" s="101" t="n">
        <x:f>INDEX('Scenarios'!$C$21:$E$21,1,MATCH($B$4,'Scenarios'!$C$4:$E$4,0))</x:f>
        <x:v>1</x:v>
      </x:c>
      <x:c r="C23" s="84" t="str">
        <x:v>count</x:v>
      </x:c>
      <x:c r="D23" s="102" t="str">
        <x:v>Distributed evenly through the year for planning.</x:v>
      </x:c>
      <x:c r="E23" s="84"/>
      <x:c r="F23" s="84"/>
      <x:c r="G23" s="84"/>
      <x:c r="H23" s="84"/>
    </x:row>
    <x:row r="24">
      <x:c r="A24" s="84" t="str">
        <x:v>Partner enablement projects — year 2</x:v>
      </x:c>
      <x:c r="B24" s="101" t="n">
        <x:f>INDEX('Scenarios'!$C$22:$E$22,1,MATCH($B$4,'Scenarios'!$C$4:$E$4,0))</x:f>
        <x:v>1</x:v>
      </x:c>
      <x:c r="C24" s="84" t="str">
        <x:v>count</x:v>
      </x:c>
      <x:c r="D24" s="102" t="str">
        <x:v>Distributed evenly through the year for planning.</x:v>
      </x:c>
      <x:c r="E24" s="84"/>
      <x:c r="F24" s="84"/>
      <x:c r="G24" s="84"/>
      <x:c r="H24" s="84"/>
    </x:row>
    <x:row r="25">
      <x:c r="A25" s="84" t="str">
        <x:v>Partner enablement projects — year 3</x:v>
      </x:c>
      <x:c r="B25" s="101" t="n">
        <x:f>INDEX('Scenarios'!$C$23:$E$23,1,MATCH($B$4,'Scenarios'!$C$4:$E$4,0))</x:f>
        <x:v>1</x:v>
      </x:c>
      <x:c r="C25" s="84" t="str">
        <x:v>count</x:v>
      </x:c>
      <x:c r="D25" s="102" t="str">
        <x:v>Distributed evenly through the year for planning.</x:v>
      </x:c>
      <x:c r="E25" s="84"/>
      <x:c r="F25" s="84"/>
      <x:c r="G25" s="84"/>
      <x:c r="H25" s="84"/>
    </x:row>
    <x:row r="26">
      <x:c r="A26" s="84" t="str">
        <x:v>Partner enablement fee</x:v>
      </x:c>
      <x:c r="B26" s="104" t="n">
        <x:f>INDEX('Scenarios'!$C$24:$E$24,1,MATCH($B$4,'Scenarios'!$C$4:$E$4,0))</x:f>
        <x:v>7500</x:v>
      </x:c>
      <x:c r="C26" s="84" t="str">
        <x:v>$</x:v>
      </x:c>
      <x:c r="D26" s="102" t="str">
        <x:v>White-label/co-managed practice setup fee.</x:v>
      </x:c>
      <x:c r="E26" s="84"/>
      <x:c r="F26" s="84"/>
      <x:c r="G26" s="84"/>
      <x:c r="H26" s="84"/>
    </x:row>
    <x:row r="27">
      <x:c r="A27" s="84" t="str">
        <x:v>Paid reviews / month — months 1–3</x:v>
      </x:c>
      <x:c r="B27" s="101" t="n">
        <x:f>INDEX('Scenarios'!$C$25:$E$25,1,MATCH($B$4,'Scenarios'!$C$4:$E$4,0))</x:f>
        <x:v>0.33</x:v>
      </x:c>
      <x:c r="C27" s="84" t="str">
        <x:v>count</x:v>
      </x:c>
      <x:c r="D27" s="102" t="str">
        <x:v>Fractional values represent planning averages, not partial contracts.</x:v>
      </x:c>
      <x:c r="E27" s="84"/>
      <x:c r="F27" s="84"/>
      <x:c r="G27" s="84"/>
      <x:c r="H27" s="84"/>
    </x:row>
    <x:row r="28">
      <x:c r="A28" s="84" t="str">
        <x:v>Paid reviews / month — months 4–6</x:v>
      </x:c>
      <x:c r="B28" s="101" t="n">
        <x:f>INDEX('Scenarios'!$C$26:$E$26,1,MATCH($B$4,'Scenarios'!$C$4:$E$4,0))</x:f>
        <x:v>0.67</x:v>
      </x:c>
      <x:c r="C28" s="84" t="str">
        <x:v>count</x:v>
      </x:c>
      <x:c r="D28" s="102" t="str">
        <x:v>Acquisition ramp assumption.</x:v>
      </x:c>
      <x:c r="E28" s="84"/>
      <x:c r="F28" s="84"/>
      <x:c r="G28" s="84"/>
      <x:c r="H28" s="84"/>
    </x:row>
    <x:row r="29">
      <x:c r="A29" s="84" t="str">
        <x:v>Paid reviews / month — months 7–12</x:v>
      </x:c>
      <x:c r="B29" s="101" t="n">
        <x:f>INDEX('Scenarios'!$C$27:$E$27,1,MATCH($B$4,'Scenarios'!$C$4:$E$4,0))</x:f>
        <x:v>0.67</x:v>
      </x:c>
      <x:c r="C29" s="84" t="str">
        <x:v>count</x:v>
      </x:c>
      <x:c r="D29" s="102" t="str">
        <x:v>Acquisition ramp assumption.</x:v>
      </x:c>
      <x:c r="E29" s="84"/>
      <x:c r="F29" s="84"/>
      <x:c r="G29" s="84"/>
      <x:c r="H29" s="84"/>
    </x:row>
    <x:row r="30">
      <x:c r="A30" s="84" t="str">
        <x:v>Paid reviews / month — months 13–18</x:v>
      </x:c>
      <x:c r="B30" s="101" t="n">
        <x:f>INDEX('Scenarios'!$C$28:$E$28,1,MATCH($B$4,'Scenarios'!$C$4:$E$4,0))</x:f>
        <x:v>1</x:v>
      </x:c>
      <x:c r="C30" s="84" t="str">
        <x:v>count</x:v>
      </x:c>
      <x:c r="D30" s="102" t="str">
        <x:v>Acquisition ramp assumption.</x:v>
      </x:c>
      <x:c r="E30" s="84"/>
      <x:c r="F30" s="84"/>
      <x:c r="G30" s="84"/>
      <x:c r="H30" s="84"/>
    </x:row>
    <x:row r="31">
      <x:c r="A31" s="84" t="str">
        <x:v>Paid reviews / month — months 19–24</x:v>
      </x:c>
      <x:c r="B31" s="101" t="n">
        <x:f>INDEX('Scenarios'!$C$29:$E$29,1,MATCH($B$4,'Scenarios'!$C$4:$E$4,0))</x:f>
        <x:v>1.25</x:v>
      </x:c>
      <x:c r="C31" s="84" t="str">
        <x:v>count</x:v>
      </x:c>
      <x:c r="D31" s="102" t="str">
        <x:v>Acquisition ramp assumption.</x:v>
      </x:c>
      <x:c r="E31" s="84"/>
      <x:c r="F31" s="84"/>
      <x:c r="G31" s="84"/>
      <x:c r="H31" s="84"/>
    </x:row>
    <x:row r="32">
      <x:c r="A32" s="84" t="str">
        <x:v>Paid reviews / month — months 25–36</x:v>
      </x:c>
      <x:c r="B32" s="101" t="n">
        <x:f>INDEX('Scenarios'!$C$30:$E$30,1,MATCH($B$4,'Scenarios'!$C$4:$E$4,0))</x:f>
        <x:v>1.5</x:v>
      </x:c>
      <x:c r="C32" s="84" t="str">
        <x:v>count</x:v>
      </x:c>
      <x:c r="D32" s="102" t="str">
        <x:v>Acquisition ramp assumption.</x:v>
      </x:c>
      <x:c r="E32" s="84"/>
      <x:c r="F32" s="84"/>
      <x:c r="G32" s="84"/>
      <x:c r="H32" s="84"/>
    </x:row>
    <x:row r="33">
      <x:c r="A33" s="84" t="str">
        <x:v>Founder hours / week</x:v>
      </x:c>
      <x:c r="B33" s="101" t="n">
        <x:f>INDEX('Scenarios'!$C$31:$E$31,1,MATCH($B$4,'Scenarios'!$C$4:$E$4,0))</x:f>
        <x:v>20</x:v>
      </x:c>
      <x:c r="C33" s="84" t="str">
        <x:v>hours</x:v>
      </x:c>
      <x:c r="D33" s="102" t="str">
        <x:v>Sponsor-approved half-time founder constraint.</x:v>
      </x:c>
      <x:c r="E33" s="84"/>
      <x:c r="F33" s="84"/>
      <x:c r="G33" s="84"/>
      <x:c r="H33" s="84"/>
    </x:row>
    <x:row r="34">
      <x:c r="A34" s="84" t="str">
        <x:v>Founder delivery capacity</x:v>
      </x:c>
      <x:c r="B34" s="103" t="n">
        <x:f>INDEX('Scenarios'!$C$32:$E$32,1,MATCH($B$4,'Scenarios'!$C$4:$E$4,0))</x:f>
        <x:v>0.6</x:v>
      </x:c>
      <x:c r="C34" s="84" t="str">
        <x:v>% of time</x:v>
      </x:c>
      <x:c r="D34" s="102" t="str">
        <x:v>Leaves sales, admin, productization, and incident capacity.</x:v>
      </x:c>
      <x:c r="E34" s="84"/>
      <x:c r="F34" s="84"/>
      <x:c r="G34" s="84"/>
      <x:c r="H34" s="84"/>
    </x:row>
    <x:row r="35">
      <x:c r="A35" s="84" t="str">
        <x:v>Founder loaded economic rate</x:v>
      </x:c>
      <x:c r="B35" s="104" t="n">
        <x:f>INDEX('Scenarios'!$C$33:$E$33,1,MATCH($B$4,'Scenarios'!$C$4:$E$4,0))</x:f>
        <x:v>125</x:v>
      </x:c>
      <x:c r="C35" s="84" t="str">
        <x:v>$ / hour</x:v>
      </x:c>
      <x:c r="D35" s="102" t="str">
        <x:v>Opportunity-cost view; separate from cash compensation.</x:v>
      </x:c>
      <x:c r="E35" s="84"/>
      <x:c r="F35" s="84"/>
      <x:c r="G35" s="84"/>
      <x:c r="H35" s="84"/>
    </x:row>
    <x:row r="36">
      <x:c r="A36" s="84" t="str">
        <x:v>Founder cash compensation</x:v>
      </x:c>
      <x:c r="B36" s="104" t="n">
        <x:f>INDEX('Scenarios'!$C$34:$E$34,1,MATCH($B$4,'Scenarios'!$C$4:$E$4,0))</x:f>
        <x:v>3000</x:v>
      </x:c>
      <x:c r="C36" s="84" t="str">
        <x:v>$ / month</x:v>
      </x:c>
      <x:c r="D36" s="102" t="str">
        <x:v>Cash P&amp;L only; excluded from normalized P&amp;L to avoid double counting.</x:v>
      </x:c>
      <x:c r="E36" s="84"/>
      <x:c r="F36" s="84"/>
      <x:c r="G36" s="84"/>
      <x:c r="H36" s="84"/>
    </x:row>
    <x:row r="37">
      <x:c r="A37" s="84" t="str">
        <x:v>Founder cash compensation start month</x:v>
      </x:c>
      <x:c r="B37" s="101" t="n">
        <x:f>INDEX('Scenarios'!$C$35:$E$35,1,MATCH($B$4,'Scenarios'!$C$4:$E$4,0))</x:f>
        <x:v>13</x:v>
      </x:c>
      <x:c r="C37" s="84" t="str">
        <x:v>month</x:v>
      </x:c>
      <x:c r="D37" s="102" t="str">
        <x:v>99 means not started in the 36-month forecast.</x:v>
      </x:c>
      <x:c r="E37" s="84"/>
      <x:c r="F37" s="84"/>
      <x:c r="G37" s="84"/>
      <x:c r="H37" s="84"/>
    </x:row>
    <x:row r="38">
      <x:c r="A38" s="84" t="str">
        <x:v>Core contractor start month</x:v>
      </x:c>
      <x:c r="B38" s="101" t="n">
        <x:f>INDEX('Scenarios'!$C$36:$E$36,1,MATCH($B$4,'Scenarios'!$C$4:$E$4,0))</x:f>
        <x:v>15</x:v>
      </x:c>
      <x:c r="C38" s="84" t="str">
        <x:v>month</x:v>
      </x:c>
      <x:c r="D38" s="102" t="str">
        <x:v>Flexible delivery capacity becomes available from this month.</x:v>
      </x:c>
      <x:c r="E38" s="84"/>
      <x:c r="F38" s="84"/>
      <x:c r="G38" s="84"/>
      <x:c r="H38" s="84"/>
    </x:row>
    <x:row r="39">
      <x:c r="A39" s="84" t="str">
        <x:v>Core contractor capacity</x:v>
      </x:c>
      <x:c r="B39" s="101" t="n">
        <x:f>INDEX('Scenarios'!$C$37:$E$37,1,MATCH($B$4,'Scenarios'!$C$4:$E$4,0))</x:f>
        <x:v>80</x:v>
      </x:c>
      <x:c r="C39" s="84" t="str">
        <x:v>hours / month</x:v>
      </x:c>
      <x:c r="D39" s="102" t="str">
        <x:v>Committed/familiar capacity before flex subcontracting.</x:v>
      </x:c>
      <x:c r="E39" s="84"/>
      <x:c r="F39" s="84"/>
      <x:c r="G39" s="84"/>
      <x:c r="H39" s="84"/>
    </x:row>
    <x:row r="40">
      <x:c r="A40" s="84" t="str">
        <x:v>Core contractor rate</x:v>
      </x:c>
      <x:c r="B40" s="104" t="n">
        <x:f>INDEX('Scenarios'!$C$38:$E$38,1,MATCH($B$4,'Scenarios'!$C$4:$E$4,0))</x:f>
        <x:v>95</x:v>
      </x:c>
      <x:c r="C40" s="84" t="str">
        <x:v>$ / hour</x:v>
      </x:c>
      <x:c r="D40" s="102" t="str">
        <x:v>Cash direct delivery cost.</x:v>
      </x:c>
      <x:c r="E40" s="84"/>
      <x:c r="F40" s="84"/>
      <x:c r="G40" s="84"/>
      <x:c r="H40" s="84"/>
    </x:row>
    <x:row r="41">
      <x:c r="A41" s="84" t="str">
        <x:v>Flex contractor rate</x:v>
      </x:c>
      <x:c r="B41" s="104" t="n">
        <x:f>INDEX('Scenarios'!$C$39:$E$39,1,MATCH($B$4,'Scenarios'!$C$4:$E$4,0))</x:f>
        <x:v>125</x:v>
      </x:c>
      <x:c r="C41" s="84" t="str">
        <x:v>$ / hour</x:v>
      </x:c>
      <x:c r="D41" s="102" t="str">
        <x:v>Overflow capacity; preserves deliverability but compresses margin.</x:v>
      </x:c>
      <x:c r="E41" s="84"/>
      <x:c r="F41" s="84"/>
      <x:c r="G41" s="84"/>
      <x:c r="H41" s="84"/>
    </x:row>
    <x:row r="42">
      <x:c r="A42" s="84" t="str">
        <x:v>Review delivery hours</x:v>
      </x:c>
      <x:c r="B42" s="101" t="n">
        <x:f>INDEX('Scenarios'!$C$40:$E$40,1,MATCH($B$4,'Scenarios'!$C$4:$E$4,0))</x:f>
        <x:v>8</x:v>
      </x:c>
      <x:c r="C42" s="84" t="str">
        <x:v>hours</x:v>
      </x:c>
      <x:c r="D42" s="102" t="str">
        <x:v>Founder/contractor time for one paid review.</x:v>
      </x:c>
      <x:c r="E42" s="84"/>
      <x:c r="F42" s="84"/>
      <x:c r="G42" s="84"/>
      <x:c r="H42" s="84"/>
    </x:row>
    <x:row r="43">
      <x:c r="A43" s="84" t="str">
        <x:v>Launch delivery hours</x:v>
      </x:c>
      <x:c r="B43" s="101" t="n">
        <x:f>INDEX('Scenarios'!$C$41:$E$41,1,MATCH($B$4,'Scenarios'!$C$4:$E$4,0))</x:f>
        <x:v>40</x:v>
      </x:c>
      <x:c r="C43" s="84" t="str">
        <x:v>hours</x:v>
      </x:c>
      <x:c r="D43" s="102" t="str">
        <x:v>Founder/contractor time for one reference launch.</x:v>
      </x:c>
      <x:c r="E43" s="84"/>
      <x:c r="F43" s="84"/>
      <x:c r="G43" s="84"/>
      <x:c r="H43" s="84"/>
    </x:row>
    <x:row r="44">
      <x:c r="A44" s="84" t="str">
        <x:v>Core delivery hours</x:v>
      </x:c>
      <x:c r="B44" s="101" t="n">
        <x:f>INDEX('Scenarios'!$C$42:$E$42,1,MATCH($B$4,'Scenarios'!$C$4:$E$4,0))</x:f>
        <x:v>7</x:v>
      </x:c>
      <x:c r="C44" s="84" t="str">
        <x:v>hours / account / month</x:v>
      </x:c>
      <x:c r="D44" s="102" t="str">
        <x:v>Includes scheduled operations and support.</x:v>
      </x:c>
      <x:c r="E44" s="84"/>
      <x:c r="F44" s="84"/>
      <x:c r="G44" s="84"/>
      <x:c r="H44" s="84"/>
    </x:row>
    <x:row r="45">
      <x:c r="A45" s="84" t="str">
        <x:v>Operate delivery hours</x:v>
      </x:c>
      <x:c r="B45" s="101" t="n">
        <x:f>INDEX('Scenarios'!$C$43:$E$43,1,MATCH($B$4,'Scenarios'!$C$4:$E$4,0))</x:f>
        <x:v>12</x:v>
      </x:c>
      <x:c r="C45" s="84" t="str">
        <x:v>hours / account / month</x:v>
      </x:c>
      <x:c r="D45" s="102" t="str">
        <x:v>Includes scheduled operations, support, and improvement work.</x:v>
      </x:c>
      <x:c r="E45" s="84"/>
      <x:c r="F45" s="84"/>
      <x:c r="G45" s="84"/>
      <x:c r="H45" s="84"/>
    </x:row>
    <x:row r="46">
      <x:c r="A46" s="84" t="str">
        <x:v>Scale delivery hours</x:v>
      </x:c>
      <x:c r="B46" s="101" t="n">
        <x:f>INDEX('Scenarios'!$C$44:$E$44,1,MATCH($B$4,'Scenarios'!$C$4:$E$4,0))</x:f>
        <x:v>20</x:v>
      </x:c>
      <x:c r="C46" s="84" t="str">
        <x:v>hours / account / month</x:v>
      </x:c>
      <x:c r="D46" s="102" t="str">
        <x:v>Planning proxy; actual Scale must be scoped.</x:v>
      </x:c>
      <x:c r="E46" s="84"/>
      <x:c r="F46" s="84"/>
      <x:c r="G46" s="84"/>
      <x:c r="H46" s="84"/>
    </x:row>
    <x:row r="47">
      <x:c r="A47" s="84" t="str">
        <x:v>Expansion delivery hours</x:v>
      </x:c>
      <x:c r="B47" s="101" t="n">
        <x:f>INDEX('Scenarios'!$C$45:$E$45,1,MATCH($B$4,'Scenarios'!$C$4:$E$4,0))</x:f>
        <x:v>25</x:v>
      </x:c>
      <x:c r="C47" s="84" t="str">
        <x:v>hours / project</x:v>
      </x:c>
      <x:c r="D47" s="102" t="str">
        <x:v>Average separately scoped improvement project.</x:v>
      </x:c>
      <x:c r="E47" s="84"/>
      <x:c r="F47" s="84"/>
      <x:c r="G47" s="84"/>
      <x:c r="H47" s="84"/>
    </x:row>
    <x:row r="48">
      <x:c r="A48" s="84" t="str">
        <x:v>Enablement delivery hours</x:v>
      </x:c>
      <x:c r="B48" s="101" t="n">
        <x:f>INDEX('Scenarios'!$C$46:$E$46,1,MATCH($B$4,'Scenarios'!$C$4:$E$4,0))</x:f>
        <x:v>30</x:v>
      </x:c>
      <x:c r="C48" s="84" t="str">
        <x:v>hours / project</x:v>
      </x:c>
      <x:c r="D48" s="102" t="str">
        <x:v>Partner onboarding, collateral, training, and alignment.</x:v>
      </x:c>
      <x:c r="E48" s="84"/>
      <x:c r="F48" s="84"/>
      <x:c r="G48" s="84"/>
      <x:c r="H48" s="84"/>
    </x:row>
    <x:row r="49">
      <x:c r="A49" s="84" t="str">
        <x:v>Delivery-hours multiplier</x:v>
      </x:c>
      <x:c r="B49" s="101" t="n">
        <x:f>INDEX('Scenarios'!$C$47:$E$47,1,MATCH($B$4,'Scenarios'!$C$4:$E$4,0))</x:f>
        <x:v>1</x:v>
      </x:c>
      <x:c r="C49" s="84" t="str">
        <x:v>x</x:v>
      </x:c>
      <x:c r="D49" s="102" t="str">
        <x:v>Scenario-wide execution efficiency adjustment.</x:v>
      </x:c>
      <x:c r="E49" s="84"/>
      <x:c r="F49" s="84"/>
      <x:c r="G49" s="84"/>
      <x:c r="H49" s="84"/>
    </x:row>
    <x:row r="50">
      <x:c r="A50" s="84" t="str">
        <x:v>Platform/direct cost per active account</x:v>
      </x:c>
      <x:c r="B50" s="104" t="n">
        <x:f>INDEX('Scenarios'!$C$48:$E$48,1,MATCH($B$4,'Scenarios'!$C$4:$E$4,0))</x:f>
        <x:v>150</x:v>
      </x:c>
      <x:c r="C50" s="84" t="str">
        <x:v>$ / month</x:v>
      </x:c>
      <x:c r="D50" s="102" t="str">
        <x:v>Dirtyworks.ai direct cost only; customer licences excluded.</x:v>
      </x:c>
      <x:c r="E50" s="84"/>
      <x:c r="F50" s="84"/>
      <x:c r="G50" s="84"/>
      <x:c r="H50" s="84"/>
    </x:row>
    <x:row r="51">
      <x:c r="A51" s="84" t="str">
        <x:v>Payment processing / bad-debt reserve</x:v>
      </x:c>
      <x:c r="B51" s="103" t="n">
        <x:f>INDEX('Scenarios'!$C$49:$E$49,1,MATCH($B$4,'Scenarios'!$C$4:$E$4,0))</x:f>
        <x:v>0.025</x:v>
      </x:c>
      <x:c r="C51" s="84" t="str">
        <x:v>% of revenue</x:v>
      </x:c>
      <x:c r="D51" s="102" t="str">
        <x:v>Direct variable cash cost proxy.</x:v>
      </x:c>
      <x:c r="E51" s="84"/>
      <x:c r="F51" s="84"/>
      <x:c r="G51" s="84"/>
      <x:c r="H51" s="84"/>
    </x:row>
    <x:row r="52">
      <x:c r="A52" s="84" t="str">
        <x:v>Software and administration</x:v>
      </x:c>
      <x:c r="B52" s="104" t="n">
        <x:f>INDEX('Scenarios'!$C$50:$E$50,1,MATCH($B$4,'Scenarios'!$C$4:$E$4,0))</x:f>
        <x:v>1000</x:v>
      </x:c>
      <x:c r="C52" s="84" t="str">
        <x:v>$ / month</x:v>
      </x:c>
      <x:c r="D52" s="102" t="str">
        <x:v>Internal tools, bookkeeping, communications, and routine administration.</x:v>
      </x:c>
      <x:c r="E52" s="84"/>
      <x:c r="F52" s="84"/>
      <x:c r="G52" s="84"/>
      <x:c r="H52" s="84"/>
    </x:row>
    <x:row r="53">
      <x:c r="A53" s="84" t="str">
        <x:v>Sales and marketing</x:v>
      </x:c>
      <x:c r="B53" s="104" t="n">
        <x:f>INDEX('Scenarios'!$C$51:$E$51,1,MATCH($B$4,'Scenarios'!$C$4:$E$4,0))</x:f>
        <x:v>1000</x:v>
      </x:c>
      <x:c r="C53" s="84" t="str">
        <x:v>$ / month</x:v>
      </x:c>
      <x:c r="D53" s="102" t="str">
        <x:v>Excludes founder time; paid demand remains intentionally limited.</x:v>
      </x:c>
      <x:c r="E53" s="84"/>
      <x:c r="F53" s="84"/>
      <x:c r="G53" s="84"/>
      <x:c r="H53" s="84"/>
    </x:row>
    <x:row r="54">
      <x:c r="A54" s="84" t="str">
        <x:v>Legal and insurance</x:v>
      </x:c>
      <x:c r="B54" s="104" t="n">
        <x:f>INDEX('Scenarios'!$C$52:$E$52,1,MATCH($B$4,'Scenarios'!$C$4:$E$4,0))</x:f>
        <x:v>750</x:v>
      </x:c>
      <x:c r="C54" s="84" t="str">
        <x:v>$ / month</x:v>
      </x:c>
      <x:c r="D54" s="102" t="str">
        <x:v>Ongoing provision after initial readiness work.</x:v>
      </x:c>
      <x:c r="E54" s="84"/>
      <x:c r="F54" s="84"/>
      <x:c r="G54" s="84"/>
      <x:c r="H54" s="84"/>
    </x:row>
    <x:row r="55">
      <x:c r="A55" s="84" t="str">
        <x:v>Other operating expense</x:v>
      </x:c>
      <x:c r="B55" s="104" t="n">
        <x:f>INDEX('Scenarios'!$C$53:$E$53,1,MATCH($B$4,'Scenarios'!$C$4:$E$4,0))</x:f>
        <x:v>500</x:v>
      </x:c>
      <x:c r="C55" s="84" t="str">
        <x:v>$ / month</x:v>
      </x:c>
      <x:c r="D55" s="102" t="str">
        <x:v>Travel, memberships, contingency, and small equipment.</x:v>
      </x:c>
      <x:c r="E55" s="84"/>
      <x:c r="F55" s="84"/>
      <x:c r="G55" s="84"/>
      <x:c r="H55" s="84"/>
    </x:row>
    <x:row r="56">
      <x:c r="A56" s="84" t="str">
        <x:v>Initial setup spend</x:v>
      </x:c>
      <x:c r="B56" s="104" t="n">
        <x:f>INDEX('Scenarios'!$C$54:$E$54,1,MATCH($B$4,'Scenarios'!$C$4:$E$4,0))</x:f>
        <x:v>5000</x:v>
      </x:c>
      <x:c r="C56" s="84" t="str">
        <x:v>$ in month 1</x:v>
      </x:c>
      <x:c r="D56" s="102" t="str">
        <x:v>Validation/readiness tranche envelope.</x:v>
      </x:c>
      <x:c r="E56" s="84"/>
      <x:c r="F56" s="84"/>
      <x:c r="G56" s="84"/>
      <x:c r="H56" s="84"/>
    </x:row>
    <x:row r="57">
      <x:c r="A57" s="84" t="str">
        <x:v>Production-readiness spend</x:v>
      </x:c>
      <x:c r="B57" s="104" t="n">
        <x:f>INDEX('Scenarios'!$C$55:$E$55,1,MATCH($B$4,'Scenarios'!$C$4:$E$4,0))</x:f>
        <x:v>12500</x:v>
      </x:c>
      <x:c r="C57" s="84" t="str">
        <x:v>$ one-time</x:v>
      </x:c>
      <x:c r="D57" s="102" t="str">
        <x:v>Evidence-gated legal, insurance, security, and production readiness.</x:v>
      </x:c>
      <x:c r="E57" s="84"/>
      <x:c r="F57" s="84"/>
      <x:c r="G57" s="84"/>
      <x:c r="H57" s="84"/>
    </x:row>
    <x:row r="58">
      <x:c r="A58" s="84" t="str">
        <x:v>Production-readiness spend month</x:v>
      </x:c>
      <x:c r="B58" s="101" t="n">
        <x:f>INDEX('Scenarios'!$C$56:$E$56,1,MATCH($B$4,'Scenarios'!$C$4:$E$4,0))</x:f>
        <x:v>10</x:v>
      </x:c>
      <x:c r="C58" s="84" t="str">
        <x:v>month</x:v>
      </x:c>
      <x:c r="D58" s="102" t="str">
        <x:v>99 means not incurred in the forecast.</x:v>
      </x:c>
      <x:c r="E58" s="84"/>
      <x:c r="F58" s="84"/>
      <x:c r="G58" s="84"/>
      <x:c r="H58" s="84"/>
    </x:row>
    <x:row r="59">
      <x:c r="A59" s="84" t="str">
        <x:v>Repeatable-delivery spend</x:v>
      </x:c>
      <x:c r="B59" s="104" t="n">
        <x:f>INDEX('Scenarios'!$C$57:$E$57,1,MATCH($B$4,'Scenarios'!$C$4:$E$4,0))</x:f>
        <x:v>25000</x:v>
      </x:c>
      <x:c r="C59" s="84" t="str">
        <x:v>$ one-time</x:v>
      </x:c>
      <x:c r="D59" s="102" t="str">
        <x:v>Evidence-gated capacity, automation, proof assets, and hardening.</x:v>
      </x:c>
      <x:c r="E59" s="84"/>
      <x:c r="F59" s="84"/>
      <x:c r="G59" s="84"/>
      <x:c r="H59" s="84"/>
    </x:row>
    <x:row r="60">
      <x:c r="A60" s="84" t="str">
        <x:v>Repeatable-delivery spend month</x:v>
      </x:c>
      <x:c r="B60" s="101" t="n">
        <x:f>INDEX('Scenarios'!$C$58:$E$58,1,MATCH($B$4,'Scenarios'!$C$4:$E$4,0))</x:f>
        <x:v>16</x:v>
      </x:c>
      <x:c r="C60" s="84" t="str">
        <x:v>month</x:v>
      </x:c>
      <x:c r="D60" s="102" t="str">
        <x:v>99 means not incurred in the forecast.</x:v>
      </x:c>
      <x:c r="E60" s="84"/>
      <x:c r="F60" s="84"/>
      <x:c r="G60" s="84"/>
      <x:c r="H60" s="84"/>
    </x:row>
    <x:row r="61">
      <x:c r="A61" s="84" t="str">
        <x:v>Same-month cash collection</x:v>
      </x:c>
      <x:c r="B61" s="103" t="n">
        <x:f>INDEX('Scenarios'!$C$59:$E$59,1,MATCH($B$4,'Scenarios'!$C$4:$E$4,0))</x:f>
        <x:v>0.95</x:v>
      </x:c>
      <x:c r="C61" s="84" t="str">
        <x:v>% of revenue</x:v>
      </x:c>
      <x:c r="D61" s="102" t="str">
        <x:v>Recurring is in advance; launch milestones reduce receivable exposure.</x:v>
      </x:c>
      <x:c r="E61" s="84"/>
      <x:c r="F61" s="84"/>
      <x:c r="G61" s="84"/>
      <x:c r="H61" s="84"/>
    </x:row>
    <x:row r="62">
      <x:c r="A62" s="84" t="str">
        <x:v>Initial sponsor capital</x:v>
      </x:c>
      <x:c r="B62" s="104" t="n">
        <x:f>INDEX('Scenarios'!$C$60:$E$60,1,MATCH($B$4,'Scenarios'!$C$4:$E$4,0))</x:f>
        <x:v>5000</x:v>
      </x:c>
      <x:c r="C62" s="84" t="str">
        <x:v>$</x:v>
      </x:c>
      <x:c r="D62" s="102" t="str">
        <x:v>Month 1 experiment capital.</x:v>
      </x:c>
      <x:c r="E62" s="84"/>
      <x:c r="F62" s="84"/>
      <x:c r="G62" s="84"/>
      <x:c r="H62" s="84"/>
    </x:row>
    <x:row r="63">
      <x:c r="A63" s="84" t="str">
        <x:v>Tranche 2 sponsor capital</x:v>
      </x:c>
      <x:c r="B63" s="104" t="n">
        <x:f>INDEX('Scenarios'!$C$61:$E$61,1,MATCH($B$4,'Scenarios'!$C$4:$E$4,0))</x:f>
        <x:v>12500</x:v>
      </x:c>
      <x:c r="C63" s="84" t="str">
        <x:v>$</x:v>
      </x:c>
      <x:c r="D63" s="102" t="str">
        <x:v>Released only if evidence gate is met.</x:v>
      </x:c>
      <x:c r="E63" s="84"/>
      <x:c r="F63" s="84"/>
      <x:c r="G63" s="84"/>
      <x:c r="H63" s="84"/>
    </x:row>
    <x:row r="64">
      <x:c r="A64" s="84" t="str">
        <x:v>Tranche 2 capital month</x:v>
      </x:c>
      <x:c r="B64" s="101" t="n">
        <x:f>INDEX('Scenarios'!$C$62:$E$62,1,MATCH($B$4,'Scenarios'!$C$4:$E$4,0))</x:f>
        <x:v>10</x:v>
      </x:c>
      <x:c r="C64" s="84" t="str">
        <x:v>month</x:v>
      </x:c>
      <x:c r="D64" s="102" t="str">
        <x:v>Timing proxy, not a commitment.</x:v>
      </x:c>
      <x:c r="E64" s="84"/>
      <x:c r="F64" s="84"/>
      <x:c r="G64" s="84"/>
      <x:c r="H64" s="84"/>
    </x:row>
    <x:row r="65">
      <x:c r="A65" s="84" t="str">
        <x:v>Tranche 3 sponsor capital</x:v>
      </x:c>
      <x:c r="B65" s="104" t="n">
        <x:f>INDEX('Scenarios'!$C$63:$E$63,1,MATCH($B$4,'Scenarios'!$C$4:$E$4,0))</x:f>
        <x:v>25000</x:v>
      </x:c>
      <x:c r="C65" s="84" t="str">
        <x:v>$</x:v>
      </x:c>
      <x:c r="D65" s="102" t="str">
        <x:v>Released only if evidence gate is met.</x:v>
      </x:c>
      <x:c r="E65" s="84"/>
      <x:c r="F65" s="84"/>
      <x:c r="G65" s="84"/>
      <x:c r="H65" s="84"/>
    </x:row>
    <x:row r="66">
      <x:c r="A66" s="84" t="str">
        <x:v>Tranche 3 capital month</x:v>
      </x:c>
      <x:c r="B66" s="101" t="n">
        <x:f>INDEX('Scenarios'!$C$64:$E$64,1,MATCH($B$4,'Scenarios'!$C$4:$E$4,0))</x:f>
        <x:v>16</x:v>
      </x:c>
      <x:c r="C66" s="84" t="str">
        <x:v>month</x:v>
      </x:c>
      <x:c r="D66" s="102" t="str">
        <x:v>Timing proxy, not a commitment.</x:v>
      </x:c>
      <x:c r="E66" s="84"/>
      <x:c r="F66" s="84"/>
      <x:c r="G66" s="84"/>
      <x:c r="H66" s="84"/>
    </x:row>
  </x:sheetData>
  <x:mergeCells>
    <x:mergeCell ref="A1:H1"/>
    <x:mergeCell ref="A2:H2"/>
  </x:mergeCells>
  <x:dataValidations count="1">
    <x:dataValidation type="list" sqref="B4">
      <x:formula1>"Downside,Base,Upside"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62" hidden="0" customWidth="1"/>
  </x:cols>
  <x:sheetData>
    <x:row r="1" ht="32" customHeight="1">
      <x:c r="A1" s="3" t="str">
        <x:v>DIRTYWORKS.AI / SCENARIO ASSUMPTIONS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91" t="str">
        <x:v>Editable hypotheses in blue. All figures are CAD, excluding GST, unless noted.</x:v>
      </x:c>
      <x:c r="B2" s="91"/>
      <x:c r="C2" s="91"/>
      <x:c r="D2" s="91"/>
      <x:c r="E2" s="91"/>
      <x:c r="F2" s="91"/>
      <x:c r="G2" s="91"/>
      <x:c r="H2" s="91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>
      <x:c r="A4" s="15" t="str">
        <x:v>Driver</x:v>
      </x:c>
      <x:c r="B4" s="16" t="str">
        <x:v>Unit</x:v>
      </x:c>
      <x:c r="C4" s="16" t="str">
        <x:v>Downside</x:v>
      </x:c>
      <x:c r="D4" s="16" t="str">
        <x:v>Base</x:v>
      </x:c>
      <x:c r="E4" s="16" t="str">
        <x:v>Upside</x:v>
      </x:c>
      <x:c r="F4" s="17" t="str">
        <x:v>Basis / interpretation</x:v>
      </x:c>
      <x:c r="G4" s="84"/>
      <x:c r="H4" s="84"/>
    </x:row>
    <x:row r="5">
      <x:c r="A5" s="105" t="str">
        <x:v>Price multiplier</x:v>
      </x:c>
      <x:c r="B5" s="105" t="str">
        <x:v>x</x:v>
      </x:c>
      <x:c r="C5" s="106" t="n">
        <x:v>0.9</x:v>
      </x:c>
      <x:c r="D5" s="106" t="n">
        <x:v>1</x:v>
      </x:c>
      <x:c r="E5" s="106" t="n">
        <x:v>1.05</x:v>
      </x:c>
      <x:c r="F5" s="102" t="str">
        <x:v>Tests discount pressure versus modest pricing power.</x:v>
      </x:c>
      <x:c r="G5" s="84"/>
      <x:c r="H5" s="84"/>
    </x:row>
    <x:row r="6">
      <x:c r="A6" s="105" t="str">
        <x:v>Channel share</x:v>
      </x:c>
      <x:c r="B6" s="105" t="str">
        <x:v>% of volume</x:v>
      </x:c>
      <x:c r="C6" s="107" t="n">
        <x:v>0.4</x:v>
      </x:c>
      <x:c r="D6" s="107" t="n">
        <x:v>0.25</x:v>
      </x:c>
      <x:c r="E6" s="107" t="n">
        <x:v>0.35</x:v>
      </x:c>
      <x:c r="F6" s="102" t="str">
        <x:v>Weighted share sold through partner economics.</x:v>
      </x:c>
      <x:c r="G6" s="84"/>
      <x:c r="H6" s="84"/>
    </x:row>
    <x:row r="7">
      <x:c r="A7" s="105" t="str">
        <x:v>Channel discount</x:v>
      </x:c>
      <x:c r="B7" s="105" t="str">
        <x:v>% of Dirtyworks.ai price</x:v>
      </x:c>
      <x:c r="C7" s="107" t="n">
        <x:v>0.3</x:v>
      </x:c>
      <x:c r="D7" s="107" t="n">
        <x:v>0.25</x:v>
      </x:c>
      <x:c r="E7" s="107" t="n">
        <x:v>0.2</x:v>
      </x:c>
      <x:c r="F7" s="102" t="str">
        <x:v>Average revenue reduction on channel-sourced work.</x:v>
      </x:c>
      <x:c r="G7" s="84"/>
      <x:c r="H7" s="84"/>
    </x:row>
    <x:row r="8">
      <x:c r="A8" s="105" t="str">
        <x:v>Monthly recurring churn</x:v>
      </x:c>
      <x:c r="B8" s="105" t="str">
        <x:v>%</x:v>
      </x:c>
      <x:c r="C8" s="107" t="n">
        <x:v>0.03</x:v>
      </x:c>
      <x:c r="D8" s="107" t="n">
        <x:v>0.015</x:v>
      </x:c>
      <x:c r="E8" s="107" t="n">
        <x:v>0.01</x:v>
      </x:c>
      <x:c r="F8" s="102" t="str">
        <x:v>Early-stage logo churn; no expansion MRR is assumed.</x:v>
      </x:c>
      <x:c r="G8" s="84"/>
      <x:c r="H8" s="84"/>
    </x:row>
    <x:row r="9">
      <x:c r="A9" s="105" t="str">
        <x:v>Review price</x:v>
      </x:c>
      <x:c r="B9" s="105" t="str">
        <x:v>$</x:v>
      </x:c>
      <x:c r="C9" s="108" t="n">
        <x:v>2500</x:v>
      </x:c>
      <x:c r="D9" s="108" t="n">
        <x:v>2500</x:v>
      </x:c>
      <x:c r="E9" s="108" t="n">
        <x:v>2500</x:v>
      </x:c>
      <x:c r="F9" s="102" t="str">
        <x:v>Knowledge Reliability Review list price.</x:v>
      </x:c>
      <x:c r="G9" s="84"/>
      <x:c r="H9" s="84"/>
    </x:row>
    <x:row r="10">
      <x:c r="A10" s="105" t="str">
        <x:v>Launch price</x:v>
      </x:c>
      <x:c r="B10" s="105" t="str">
        <x:v>$</x:v>
      </x:c>
      <x:c r="C10" s="108" t="n">
        <x:v>8500</x:v>
      </x:c>
      <x:c r="D10" s="108" t="n">
        <x:v>9500</x:v>
      </x:c>
      <x:c r="E10" s="108" t="n">
        <x:v>10500</x:v>
      </x:c>
      <x:c r="F10" s="102" t="str">
        <x:v>Managed Knowledge Launch reference scope.</x:v>
      </x:c>
      <x:c r="G10" s="84"/>
      <x:c r="H10" s="84"/>
    </x:row>
    <x:row r="11">
      <x:c r="A11" s="105" t="str">
        <x:v>Core MRR</x:v>
      </x:c>
      <x:c r="B11" s="105" t="str">
        <x:v>$ / month</x:v>
      </x:c>
      <x:c r="C11" s="108" t="n">
        <x:v>2250</x:v>
      </x:c>
      <x:c r="D11" s="108" t="n">
        <x:v>2500</x:v>
      </x:c>
      <x:c r="E11" s="108" t="n">
        <x:v>2750</x:v>
      </x:c>
      <x:c r="F11" s="102" t="str">
        <x:v>Managed Knowledge Operations — Core.</x:v>
      </x:c>
      <x:c r="G11" s="84"/>
      <x:c r="H11" s="84"/>
    </x:row>
    <x:row r="12">
      <x:c r="A12" s="105" t="str">
        <x:v>Operate MRR</x:v>
      </x:c>
      <x:c r="B12" s="105" t="str">
        <x:v>$ / month</x:v>
      </x:c>
      <x:c r="C12" s="108" t="n">
        <x:v>4000</x:v>
      </x:c>
      <x:c r="D12" s="108" t="n">
        <x:v>4500</x:v>
      </x:c>
      <x:c r="E12" s="108" t="n">
        <x:v>5000</x:v>
      </x:c>
      <x:c r="F12" s="102" t="str">
        <x:v>Managed Knowledge Operations — Operate.</x:v>
      </x:c>
      <x:c r="G12" s="84"/>
      <x:c r="H12" s="84"/>
    </x:row>
    <x:row r="13">
      <x:c r="A13" s="105" t="str">
        <x:v>Scale MRR</x:v>
      </x:c>
      <x:c r="B13" s="105" t="str">
        <x:v>$ / month</x:v>
      </x:c>
      <x:c r="C13" s="108" t="n">
        <x:v>6750</x:v>
      </x:c>
      <x:c r="D13" s="108" t="n">
        <x:v>7500</x:v>
      </x:c>
      <x:c r="E13" s="108" t="n">
        <x:v>8500</x:v>
      </x:c>
      <x:c r="F13" s="102" t="str">
        <x:v>Managed Knowledge Operations — Scale.</x:v>
      </x:c>
      <x:c r="G13" s="84"/>
      <x:c r="H13" s="84"/>
    </x:row>
    <x:row r="14">
      <x:c r="A14" s="105" t="str">
        <x:v>Core package mix</x:v>
      </x:c>
      <x:c r="B14" s="105" t="str">
        <x:v>%</x:v>
      </x:c>
      <x:c r="C14" s="107" t="n">
        <x:v>0.7</x:v>
      </x:c>
      <x:c r="D14" s="107" t="n">
        <x:v>0.25</x:v>
      </x:c>
      <x:c r="E14" s="107" t="n">
        <x:v>0.2</x:v>
      </x:c>
      <x:c r="F14" s="102" t="str">
        <x:v>Share of active recurring accounts.</x:v>
      </x:c>
      <x:c r="G14" s="84"/>
      <x:c r="H14" s="84"/>
    </x:row>
    <x:row r="15">
      <x:c r="A15" s="105" t="str">
        <x:v>Operate package mix</x:v>
      </x:c>
      <x:c r="B15" s="105" t="str">
        <x:v>%</x:v>
      </x:c>
      <x:c r="C15" s="107" t="n">
        <x:v>0.3</x:v>
      </x:c>
      <x:c r="D15" s="107" t="n">
        <x:v>0.6</x:v>
      </x:c>
      <x:c r="E15" s="107" t="n">
        <x:v>0.5</x:v>
      </x:c>
      <x:c r="F15" s="102" t="str">
        <x:v>Share of active recurring accounts.</x:v>
      </x:c>
      <x:c r="G15" s="84"/>
      <x:c r="H15" s="84"/>
    </x:row>
    <x:row r="16">
      <x:c r="A16" s="105" t="str">
        <x:v>Scale package mix</x:v>
      </x:c>
      <x:c r="B16" s="105" t="str">
        <x:v>%</x:v>
      </x:c>
      <x:c r="C16" s="107" t="n">
        <x:v>0</x:v>
      </x:c>
      <x:c r="D16" s="107" t="n">
        <x:v>0.15</x:v>
      </x:c>
      <x:c r="E16" s="107" t="n">
        <x:v>0.3</x:v>
      </x:c>
      <x:c r="F16" s="102" t="str">
        <x:v>Share of active recurring accounts.</x:v>
      </x:c>
      <x:c r="G16" s="84"/>
      <x:c r="H16" s="84"/>
    </x:row>
    <x:row r="17">
      <x:c r="A17" s="105" t="str">
        <x:v>Review-to-launch conversion</x:v>
      </x:c>
      <x:c r="B17" s="105" t="str">
        <x:v>%</x:v>
      </x:c>
      <x:c r="C17" s="107" t="n">
        <x:v>0.35</x:v>
      </x:c>
      <x:c r="D17" s="107" t="n">
        <x:v>0.6</x:v>
      </x:c>
      <x:c r="E17" s="107" t="n">
        <x:v>0.7</x:v>
      </x:c>
      <x:c r="F17" s="102" t="str">
        <x:v>One-month lag in the model.</x:v>
      </x:c>
      <x:c r="G17" s="84"/>
      <x:c r="H17" s="84"/>
    </x:row>
    <x:row r="18">
      <x:c r="A18" s="105" t="str">
        <x:v>Launch-to-managed conversion</x:v>
      </x:c>
      <x:c r="B18" s="105" t="str">
        <x:v>%</x:v>
      </x:c>
      <x:c r="C18" s="107" t="n">
        <x:v>0.5</x:v>
      </x:c>
      <x:c r="D18" s="107" t="n">
        <x:v>0.75</x:v>
      </x:c>
      <x:c r="E18" s="107" t="n">
        <x:v>0.85</x:v>
      </x:c>
      <x:c r="F18" s="102" t="str">
        <x:v>One additional month of lag in the model.</x:v>
      </x:c>
      <x:c r="G18" s="84"/>
      <x:c r="H18" s="84"/>
    </x:row>
    <x:row r="19">
      <x:c r="A19" s="105" t="str">
        <x:v>Annual expansion incidence</x:v>
      </x:c>
      <x:c r="B19" s="105" t="str">
        <x:v>% of active accounts</x:v>
      </x:c>
      <x:c r="C19" s="107" t="n">
        <x:v>0.05</x:v>
      </x:c>
      <x:c r="D19" s="107" t="n">
        <x:v>0.2</x:v>
      </x:c>
      <x:c r="E19" s="107" t="n">
        <x:v>0.35</x:v>
      </x:c>
      <x:c r="F19" s="102" t="str">
        <x:v>Expected expansion projects per active account per year.</x:v>
      </x:c>
      <x:c r="G19" s="84"/>
      <x:c r="H19" s="84"/>
    </x:row>
    <x:row r="20">
      <x:c r="A20" s="105" t="str">
        <x:v>Average expansion fee</x:v>
      </x:c>
      <x:c r="B20" s="105" t="str">
        <x:v>$</x:v>
      </x:c>
      <x:c r="C20" s="108" t="n">
        <x:v>5000</x:v>
      </x:c>
      <x:c r="D20" s="108" t="n">
        <x:v>7500</x:v>
      </x:c>
      <x:c r="E20" s="108" t="n">
        <x:v>10000</x:v>
      </x:c>
      <x:c r="F20" s="102" t="str">
        <x:v>Knowledge repair, domain launch, integration, or workflow work.</x:v>
      </x:c>
      <x:c r="G20" s="84"/>
      <x:c r="H20" s="84"/>
    </x:row>
    <x:row r="21">
      <x:c r="A21" s="105" t="str">
        <x:v>Partner enablement projects — year 1</x:v>
      </x:c>
      <x:c r="B21" s="105" t="str">
        <x:v>count</x:v>
      </x:c>
      <x:c r="C21" s="106" t="n">
        <x:v>0</x:v>
      </x:c>
      <x:c r="D21" s="106" t="n">
        <x:v>1</x:v>
      </x:c>
      <x:c r="E21" s="106" t="n">
        <x:v>2</x:v>
      </x:c>
      <x:c r="F21" s="102" t="str">
        <x:v>Distributed evenly through the year for planning.</x:v>
      </x:c>
      <x:c r="G21" s="84"/>
      <x:c r="H21" s="84"/>
    </x:row>
    <x:row r="22">
      <x:c r="A22" s="105" t="str">
        <x:v>Partner enablement projects — year 2</x:v>
      </x:c>
      <x:c r="B22" s="105" t="str">
        <x:v>count</x:v>
      </x:c>
      <x:c r="C22" s="106" t="n">
        <x:v>0</x:v>
      </x:c>
      <x:c r="D22" s="106" t="n">
        <x:v>1</x:v>
      </x:c>
      <x:c r="E22" s="106" t="n">
        <x:v>2</x:v>
      </x:c>
      <x:c r="F22" s="102" t="str">
        <x:v>Distributed evenly through the year for planning.</x:v>
      </x:c>
      <x:c r="G22" s="84"/>
      <x:c r="H22" s="84"/>
    </x:row>
    <x:row r="23">
      <x:c r="A23" s="105" t="str">
        <x:v>Partner enablement projects — year 3</x:v>
      </x:c>
      <x:c r="B23" s="105" t="str">
        <x:v>count</x:v>
      </x:c>
      <x:c r="C23" s="106" t="n">
        <x:v>0</x:v>
      </x:c>
      <x:c r="D23" s="106" t="n">
        <x:v>1</x:v>
      </x:c>
      <x:c r="E23" s="106" t="n">
        <x:v>3</x:v>
      </x:c>
      <x:c r="F23" s="102" t="str">
        <x:v>Distributed evenly through the year for planning.</x:v>
      </x:c>
      <x:c r="G23" s="84"/>
      <x:c r="H23" s="84"/>
    </x:row>
    <x:row r="24">
      <x:c r="A24" s="105" t="str">
        <x:v>Partner enablement fee</x:v>
      </x:c>
      <x:c r="B24" s="105" t="str">
        <x:v>$</x:v>
      </x:c>
      <x:c r="C24" s="108" t="n">
        <x:v>5000</x:v>
      </x:c>
      <x:c r="D24" s="108" t="n">
        <x:v>7500</x:v>
      </x:c>
      <x:c r="E24" s="108" t="n">
        <x:v>10000</x:v>
      </x:c>
      <x:c r="F24" s="102" t="str">
        <x:v>White-label/co-managed practice setup fee.</x:v>
      </x:c>
      <x:c r="G24" s="84"/>
      <x:c r="H24" s="84"/>
    </x:row>
    <x:row r="25">
      <x:c r="A25" s="105" t="str">
        <x:v>Paid reviews / month — months 1–3</x:v>
      </x:c>
      <x:c r="B25" s="105" t="str">
        <x:v>count</x:v>
      </x:c>
      <x:c r="C25" s="106" t="n">
        <x:v>0.17</x:v>
      </x:c>
      <x:c r="D25" s="106" t="n">
        <x:v>0.33</x:v>
      </x:c>
      <x:c r="E25" s="106" t="n">
        <x:v>0.67</x:v>
      </x:c>
      <x:c r="F25" s="102" t="str">
        <x:v>Fractional values represent planning averages, not partial contracts.</x:v>
      </x:c>
      <x:c r="G25" s="84"/>
      <x:c r="H25" s="84"/>
    </x:row>
    <x:row r="26">
      <x:c r="A26" s="105" t="str">
        <x:v>Paid reviews / month — months 4–6</x:v>
      </x:c>
      <x:c r="B26" s="105" t="str">
        <x:v>count</x:v>
      </x:c>
      <x:c r="C26" s="106" t="n">
        <x:v>0.33</x:v>
      </x:c>
      <x:c r="D26" s="106" t="n">
        <x:v>0.67</x:v>
      </x:c>
      <x:c r="E26" s="106" t="n">
        <x:v>1</x:v>
      </x:c>
      <x:c r="F26" s="102" t="str">
        <x:v>Acquisition ramp assumption.</x:v>
      </x:c>
      <x:c r="G26" s="84"/>
      <x:c r="H26" s="84"/>
    </x:row>
    <x:row r="27">
      <x:c r="A27" s="105" t="str">
        <x:v>Paid reviews / month — months 7–12</x:v>
      </x:c>
      <x:c r="B27" s="105" t="str">
        <x:v>count</x:v>
      </x:c>
      <x:c r="C27" s="106" t="n">
        <x:v>0.33</x:v>
      </x:c>
      <x:c r="D27" s="106" t="n">
        <x:v>0.67</x:v>
      </x:c>
      <x:c r="E27" s="106" t="n">
        <x:v>1.25</x:v>
      </x:c>
      <x:c r="F27" s="102" t="str">
        <x:v>Acquisition ramp assumption.</x:v>
      </x:c>
      <x:c r="G27" s="84"/>
      <x:c r="H27" s="84"/>
    </x:row>
    <x:row r="28">
      <x:c r="A28" s="105" t="str">
        <x:v>Paid reviews / month — months 13–18</x:v>
      </x:c>
      <x:c r="B28" s="105" t="str">
        <x:v>count</x:v>
      </x:c>
      <x:c r="C28" s="106" t="n">
        <x:v>0.5</x:v>
      </x:c>
      <x:c r="D28" s="106" t="n">
        <x:v>1</x:v>
      </x:c>
      <x:c r="E28" s="106" t="n">
        <x:v>1.5</x:v>
      </x:c>
      <x:c r="F28" s="102" t="str">
        <x:v>Acquisition ramp assumption.</x:v>
      </x:c>
      <x:c r="G28" s="84"/>
      <x:c r="H28" s="84"/>
    </x:row>
    <x:row r="29">
      <x:c r="A29" s="105" t="str">
        <x:v>Paid reviews / month — months 19–24</x:v>
      </x:c>
      <x:c r="B29" s="105" t="str">
        <x:v>count</x:v>
      </x:c>
      <x:c r="C29" s="106" t="n">
        <x:v>0.67</x:v>
      </x:c>
      <x:c r="D29" s="106" t="n">
        <x:v>1.25</x:v>
      </x:c>
      <x:c r="E29" s="106" t="n">
        <x:v>2</x:v>
      </x:c>
      <x:c r="F29" s="102" t="str">
        <x:v>Acquisition ramp assumption.</x:v>
      </x:c>
      <x:c r="G29" s="84"/>
      <x:c r="H29" s="84"/>
    </x:row>
    <x:row r="30">
      <x:c r="A30" s="105" t="str">
        <x:v>Paid reviews / month — months 25–36</x:v>
      </x:c>
      <x:c r="B30" s="105" t="str">
        <x:v>count</x:v>
      </x:c>
      <x:c r="C30" s="106" t="n">
        <x:v>0.75</x:v>
      </x:c>
      <x:c r="D30" s="106" t="n">
        <x:v>1.5</x:v>
      </x:c>
      <x:c r="E30" s="106" t="n">
        <x:v>2.5</x:v>
      </x:c>
      <x:c r="F30" s="102" t="str">
        <x:v>Acquisition ramp assumption.</x:v>
      </x:c>
      <x:c r="G30" s="84"/>
      <x:c r="H30" s="84"/>
    </x:row>
    <x:row r="31">
      <x:c r="A31" s="105" t="str">
        <x:v>Founder hours / week</x:v>
      </x:c>
      <x:c r="B31" s="105" t="str">
        <x:v>hours</x:v>
      </x:c>
      <x:c r="C31" s="106" t="n">
        <x:v>20</x:v>
      </x:c>
      <x:c r="D31" s="106" t="n">
        <x:v>20</x:v>
      </x:c>
      <x:c r="E31" s="106" t="n">
        <x:v>20</x:v>
      </x:c>
      <x:c r="F31" s="102" t="str">
        <x:v>Sponsor-approved half-time founder constraint.</x:v>
      </x:c>
      <x:c r="G31" s="84"/>
      <x:c r="H31" s="84"/>
    </x:row>
    <x:row r="32">
      <x:c r="A32" s="105" t="str">
        <x:v>Founder delivery capacity</x:v>
      </x:c>
      <x:c r="B32" s="105" t="str">
        <x:v>% of time</x:v>
      </x:c>
      <x:c r="C32" s="107" t="n">
        <x:v>0.6</x:v>
      </x:c>
      <x:c r="D32" s="107" t="n">
        <x:v>0.6</x:v>
      </x:c>
      <x:c r="E32" s="107" t="n">
        <x:v>0.6</x:v>
      </x:c>
      <x:c r="F32" s="102" t="str">
        <x:v>Leaves sales, admin, productization, and incident capacity.</x:v>
      </x:c>
      <x:c r="G32" s="84"/>
      <x:c r="H32" s="84"/>
    </x:row>
    <x:row r="33">
      <x:c r="A33" s="105" t="str">
        <x:v>Founder loaded economic rate</x:v>
      </x:c>
      <x:c r="B33" s="105" t="str">
        <x:v>$ / hour</x:v>
      </x:c>
      <x:c r="C33" s="108" t="n">
        <x:v>125</x:v>
      </x:c>
      <x:c r="D33" s="108" t="n">
        <x:v>125</x:v>
      </x:c>
      <x:c r="E33" s="108" t="n">
        <x:v>125</x:v>
      </x:c>
      <x:c r="F33" s="102" t="str">
        <x:v>Opportunity-cost view; separate from cash compensation.</x:v>
      </x:c>
      <x:c r="G33" s="84"/>
      <x:c r="H33" s="84"/>
    </x:row>
    <x:row r="34">
      <x:c r="A34" s="105" t="str">
        <x:v>Founder cash compensation</x:v>
      </x:c>
      <x:c r="B34" s="105" t="str">
        <x:v>$ / month</x:v>
      </x:c>
      <x:c r="C34" s="108" t="n">
        <x:v>0</x:v>
      </x:c>
      <x:c r="D34" s="108" t="n">
        <x:v>3000</x:v>
      </x:c>
      <x:c r="E34" s="108" t="n">
        <x:v>4000</x:v>
      </x:c>
      <x:c r="F34" s="102" t="str">
        <x:v>Cash P&amp;L only; excluded from normalized P&amp;L to avoid double counting.</x:v>
      </x:c>
      <x:c r="G34" s="84"/>
      <x:c r="H34" s="84"/>
    </x:row>
    <x:row r="35">
      <x:c r="A35" s="105" t="str">
        <x:v>Founder cash compensation start month</x:v>
      </x:c>
      <x:c r="B35" s="105" t="str">
        <x:v>month</x:v>
      </x:c>
      <x:c r="C35" s="106" t="n">
        <x:v>99</x:v>
      </x:c>
      <x:c r="D35" s="106" t="n">
        <x:v>13</x:v>
      </x:c>
      <x:c r="E35" s="106" t="n">
        <x:v>7</x:v>
      </x:c>
      <x:c r="F35" s="102" t="str">
        <x:v>99 means not started in the 36-month forecast.</x:v>
      </x:c>
      <x:c r="G35" s="84"/>
      <x:c r="H35" s="84"/>
    </x:row>
    <x:row r="36">
      <x:c r="A36" s="105" t="str">
        <x:v>Core contractor start month</x:v>
      </x:c>
      <x:c r="B36" s="105" t="str">
        <x:v>month</x:v>
      </x:c>
      <x:c r="C36" s="106" t="n">
        <x:v>24</x:v>
      </x:c>
      <x:c r="D36" s="106" t="n">
        <x:v>15</x:v>
      </x:c>
      <x:c r="E36" s="106" t="n">
        <x:v>10</x:v>
      </x:c>
      <x:c r="F36" s="102" t="str">
        <x:v>Flexible delivery capacity becomes available from this month.</x:v>
      </x:c>
      <x:c r="G36" s="84"/>
      <x:c r="H36" s="84"/>
    </x:row>
    <x:row r="37">
      <x:c r="A37" s="105" t="str">
        <x:v>Core contractor capacity</x:v>
      </x:c>
      <x:c r="B37" s="105" t="str">
        <x:v>hours / month</x:v>
      </x:c>
      <x:c r="C37" s="106" t="n">
        <x:v>40</x:v>
      </x:c>
      <x:c r="D37" s="106" t="n">
        <x:v>80</x:v>
      </x:c>
      <x:c r="E37" s="106" t="n">
        <x:v>120</x:v>
      </x:c>
      <x:c r="F37" s="102" t="str">
        <x:v>Committed/familiar capacity before flex subcontracting.</x:v>
      </x:c>
      <x:c r="G37" s="84"/>
      <x:c r="H37" s="84"/>
    </x:row>
    <x:row r="38">
      <x:c r="A38" s="105" t="str">
        <x:v>Core contractor rate</x:v>
      </x:c>
      <x:c r="B38" s="105" t="str">
        <x:v>$ / hour</x:v>
      </x:c>
      <x:c r="C38" s="108" t="n">
        <x:v>100</x:v>
      </x:c>
      <x:c r="D38" s="108" t="n">
        <x:v>95</x:v>
      </x:c>
      <x:c r="E38" s="108" t="n">
        <x:v>90</x:v>
      </x:c>
      <x:c r="F38" s="102" t="str">
        <x:v>Cash direct delivery cost.</x:v>
      </x:c>
      <x:c r="G38" s="84"/>
      <x:c r="H38" s="84"/>
    </x:row>
    <x:row r="39">
      <x:c r="A39" s="105" t="str">
        <x:v>Flex contractor rate</x:v>
      </x:c>
      <x:c r="B39" s="105" t="str">
        <x:v>$ / hour</x:v>
      </x:c>
      <x:c r="C39" s="108" t="n">
        <x:v>135</x:v>
      </x:c>
      <x:c r="D39" s="108" t="n">
        <x:v>125</x:v>
      </x:c>
      <x:c r="E39" s="108" t="n">
        <x:v>115</x:v>
      </x:c>
      <x:c r="F39" s="102" t="str">
        <x:v>Overflow capacity; preserves deliverability but compresses margin.</x:v>
      </x:c>
      <x:c r="G39" s="84"/>
      <x:c r="H39" s="84"/>
    </x:row>
    <x:row r="40">
      <x:c r="A40" s="105" t="str">
        <x:v>Review delivery hours</x:v>
      </x:c>
      <x:c r="B40" s="105" t="str">
        <x:v>hours</x:v>
      </x:c>
      <x:c r="C40" s="106" t="n">
        <x:v>10</x:v>
      </x:c>
      <x:c r="D40" s="106" t="n">
        <x:v>8</x:v>
      </x:c>
      <x:c r="E40" s="106" t="n">
        <x:v>7</x:v>
      </x:c>
      <x:c r="F40" s="102" t="str">
        <x:v>Founder/contractor time for one paid review.</x:v>
      </x:c>
      <x:c r="G40" s="84"/>
      <x:c r="H40" s="84"/>
    </x:row>
    <x:row r="41">
      <x:c r="A41" s="105" t="str">
        <x:v>Launch delivery hours</x:v>
      </x:c>
      <x:c r="B41" s="105" t="str">
        <x:v>hours</x:v>
      </x:c>
      <x:c r="C41" s="106" t="n">
        <x:v>50</x:v>
      </x:c>
      <x:c r="D41" s="106" t="n">
        <x:v>40</x:v>
      </x:c>
      <x:c r="E41" s="106" t="n">
        <x:v>34</x:v>
      </x:c>
      <x:c r="F41" s="102" t="str">
        <x:v>Founder/contractor time for one reference launch.</x:v>
      </x:c>
      <x:c r="G41" s="84"/>
      <x:c r="H41" s="84"/>
    </x:row>
    <x:row r="42">
      <x:c r="A42" s="105" t="str">
        <x:v>Core delivery hours</x:v>
      </x:c>
      <x:c r="B42" s="105" t="str">
        <x:v>hours / account / month</x:v>
      </x:c>
      <x:c r="C42" s="106" t="n">
        <x:v>8.5</x:v>
      </x:c>
      <x:c r="D42" s="106" t="n">
        <x:v>7</x:v>
      </x:c>
      <x:c r="E42" s="106" t="n">
        <x:v>6</x:v>
      </x:c>
      <x:c r="F42" s="102" t="str">
        <x:v>Includes scheduled operations and support.</x:v>
      </x:c>
      <x:c r="G42" s="84"/>
      <x:c r="H42" s="84"/>
    </x:row>
    <x:row r="43">
      <x:c r="A43" s="105" t="str">
        <x:v>Operate delivery hours</x:v>
      </x:c>
      <x:c r="B43" s="105" t="str">
        <x:v>hours / account / month</x:v>
      </x:c>
      <x:c r="C43" s="106" t="n">
        <x:v>15</x:v>
      </x:c>
      <x:c r="D43" s="106" t="n">
        <x:v>12</x:v>
      </x:c>
      <x:c r="E43" s="106" t="n">
        <x:v>10</x:v>
      </x:c>
      <x:c r="F43" s="102" t="str">
        <x:v>Includes scheduled operations, support, and improvement work.</x:v>
      </x:c>
      <x:c r="G43" s="84"/>
      <x:c r="H43" s="84"/>
    </x:row>
    <x:row r="44">
      <x:c r="A44" s="105" t="str">
        <x:v>Scale delivery hours</x:v>
      </x:c>
      <x:c r="B44" s="105" t="str">
        <x:v>hours / account / month</x:v>
      </x:c>
      <x:c r="C44" s="106" t="n">
        <x:v>24</x:v>
      </x:c>
      <x:c r="D44" s="106" t="n">
        <x:v>20</x:v>
      </x:c>
      <x:c r="E44" s="106" t="n">
        <x:v>17</x:v>
      </x:c>
      <x:c r="F44" s="102" t="str">
        <x:v>Planning proxy; actual Scale must be scoped.</x:v>
      </x:c>
      <x:c r="G44" s="84"/>
      <x:c r="H44" s="84"/>
    </x:row>
    <x:row r="45">
      <x:c r="A45" s="105" t="str">
        <x:v>Expansion delivery hours</x:v>
      </x:c>
      <x:c r="B45" s="105" t="str">
        <x:v>hours / project</x:v>
      </x:c>
      <x:c r="C45" s="106" t="n">
        <x:v>35</x:v>
      </x:c>
      <x:c r="D45" s="106" t="n">
        <x:v>25</x:v>
      </x:c>
      <x:c r="E45" s="106" t="n">
        <x:v>20</x:v>
      </x:c>
      <x:c r="F45" s="102" t="str">
        <x:v>Average separately scoped improvement project.</x:v>
      </x:c>
      <x:c r="G45" s="84"/>
      <x:c r="H45" s="84"/>
    </x:row>
    <x:row r="46">
      <x:c r="A46" s="105" t="str">
        <x:v>Enablement delivery hours</x:v>
      </x:c>
      <x:c r="B46" s="105" t="str">
        <x:v>hours / project</x:v>
      </x:c>
      <x:c r="C46" s="106" t="n">
        <x:v>40</x:v>
      </x:c>
      <x:c r="D46" s="106" t="n">
        <x:v>30</x:v>
      </x:c>
      <x:c r="E46" s="106" t="n">
        <x:v>24</x:v>
      </x:c>
      <x:c r="F46" s="102" t="str">
        <x:v>Partner onboarding, collateral, training, and alignment.</x:v>
      </x:c>
      <x:c r="G46" s="84"/>
      <x:c r="H46" s="84"/>
    </x:row>
    <x:row r="47">
      <x:c r="A47" s="105" t="str">
        <x:v>Delivery-hours multiplier</x:v>
      </x:c>
      <x:c r="B47" s="105" t="str">
        <x:v>x</x:v>
      </x:c>
      <x:c r="C47" s="106" t="n">
        <x:v>1.2</x:v>
      </x:c>
      <x:c r="D47" s="106" t="n">
        <x:v>1</x:v>
      </x:c>
      <x:c r="E47" s="106" t="n">
        <x:v>0.85</x:v>
      </x:c>
      <x:c r="F47" s="102" t="str">
        <x:v>Scenario-wide execution efficiency adjustment.</x:v>
      </x:c>
      <x:c r="G47" s="84"/>
      <x:c r="H47" s="84"/>
    </x:row>
    <x:row r="48">
      <x:c r="A48" s="105" t="str">
        <x:v>Platform/direct cost per active account</x:v>
      </x:c>
      <x:c r="B48" s="105" t="str">
        <x:v>$ / month</x:v>
      </x:c>
      <x:c r="C48" s="108" t="n">
        <x:v>200</x:v>
      </x:c>
      <x:c r="D48" s="108" t="n">
        <x:v>150</x:v>
      </x:c>
      <x:c r="E48" s="108" t="n">
        <x:v>125</x:v>
      </x:c>
      <x:c r="F48" s="102" t="str">
        <x:v>Dirtyworks.ai direct cost only; customer licences excluded.</x:v>
      </x:c>
      <x:c r="G48" s="84"/>
      <x:c r="H48" s="84"/>
    </x:row>
    <x:row r="49">
      <x:c r="A49" s="105" t="str">
        <x:v>Payment processing / bad-debt reserve</x:v>
      </x:c>
      <x:c r="B49" s="105" t="str">
        <x:v>% of revenue</x:v>
      </x:c>
      <x:c r="C49" s="107" t="n">
        <x:v>0.035</x:v>
      </x:c>
      <x:c r="D49" s="107" t="n">
        <x:v>0.025</x:v>
      </x:c>
      <x:c r="E49" s="107" t="n">
        <x:v>0.02</x:v>
      </x:c>
      <x:c r="F49" s="102" t="str">
        <x:v>Direct variable cash cost proxy.</x:v>
      </x:c>
      <x:c r="G49" s="84"/>
      <x:c r="H49" s="84"/>
    </x:row>
    <x:row r="50">
      <x:c r="A50" s="105" t="str">
        <x:v>Software and administration</x:v>
      </x:c>
      <x:c r="B50" s="105" t="str">
        <x:v>$ / month</x:v>
      </x:c>
      <x:c r="C50" s="108" t="n">
        <x:v>750</x:v>
      </x:c>
      <x:c r="D50" s="108" t="n">
        <x:v>1000</x:v>
      </x:c>
      <x:c r="E50" s="108" t="n">
        <x:v>1500</x:v>
      </x:c>
      <x:c r="F50" s="102" t="str">
        <x:v>Internal tools, bookkeeping, communications, and routine administration.</x:v>
      </x:c>
      <x:c r="G50" s="84"/>
      <x:c r="H50" s="84"/>
    </x:row>
    <x:row r="51">
      <x:c r="A51" s="105" t="str">
        <x:v>Sales and marketing</x:v>
      </x:c>
      <x:c r="B51" s="105" t="str">
        <x:v>$ / month</x:v>
      </x:c>
      <x:c r="C51" s="108" t="n">
        <x:v>500</x:v>
      </x:c>
      <x:c r="D51" s="108" t="n">
        <x:v>1000</x:v>
      </x:c>
      <x:c r="E51" s="108" t="n">
        <x:v>2000</x:v>
      </x:c>
      <x:c r="F51" s="102" t="str">
        <x:v>Excludes founder time; paid demand remains intentionally limited.</x:v>
      </x:c>
      <x:c r="G51" s="84"/>
      <x:c r="H51" s="84"/>
    </x:row>
    <x:row r="52">
      <x:c r="A52" s="105" t="str">
        <x:v>Legal and insurance</x:v>
      </x:c>
      <x:c r="B52" s="105" t="str">
        <x:v>$ / month</x:v>
      </x:c>
      <x:c r="C52" s="108" t="n">
        <x:v>500</x:v>
      </x:c>
      <x:c r="D52" s="108" t="n">
        <x:v>750</x:v>
      </x:c>
      <x:c r="E52" s="108" t="n">
        <x:v>1000</x:v>
      </x:c>
      <x:c r="F52" s="102" t="str">
        <x:v>Ongoing provision after initial readiness work.</x:v>
      </x:c>
      <x:c r="G52" s="84"/>
      <x:c r="H52" s="84"/>
    </x:row>
    <x:row r="53">
      <x:c r="A53" s="105" t="str">
        <x:v>Other operating expense</x:v>
      </x:c>
      <x:c r="B53" s="105" t="str">
        <x:v>$ / month</x:v>
      </x:c>
      <x:c r="C53" s="108" t="n">
        <x:v>250</x:v>
      </x:c>
      <x:c r="D53" s="108" t="n">
        <x:v>500</x:v>
      </x:c>
      <x:c r="E53" s="108" t="n">
        <x:v>750</x:v>
      </x:c>
      <x:c r="F53" s="102" t="str">
        <x:v>Travel, memberships, contingency, and small equipment.</x:v>
      </x:c>
      <x:c r="G53" s="84"/>
      <x:c r="H53" s="84"/>
    </x:row>
    <x:row r="54">
      <x:c r="A54" s="105" t="str">
        <x:v>Initial setup spend</x:v>
      </x:c>
      <x:c r="B54" s="105" t="str">
        <x:v>$ in month 1</x:v>
      </x:c>
      <x:c r="C54" s="108" t="n">
        <x:v>4000</x:v>
      </x:c>
      <x:c r="D54" s="108" t="n">
        <x:v>5000</x:v>
      </x:c>
      <x:c r="E54" s="108" t="n">
        <x:v>5000</x:v>
      </x:c>
      <x:c r="F54" s="102" t="str">
        <x:v>Validation/readiness tranche envelope.</x:v>
      </x:c>
      <x:c r="G54" s="84"/>
      <x:c r="H54" s="84"/>
    </x:row>
    <x:row r="55">
      <x:c r="A55" s="105" t="str">
        <x:v>Production-readiness spend</x:v>
      </x:c>
      <x:c r="B55" s="105" t="str">
        <x:v>$ one-time</x:v>
      </x:c>
      <x:c r="C55" s="108" t="n">
        <x:v>0</x:v>
      </x:c>
      <x:c r="D55" s="108" t="n">
        <x:v>12500</x:v>
      </x:c>
      <x:c r="E55" s="108" t="n">
        <x:v>15000</x:v>
      </x:c>
      <x:c r="F55" s="102" t="str">
        <x:v>Evidence-gated legal, insurance, security, and production readiness.</x:v>
      </x:c>
      <x:c r="G55" s="84"/>
      <x:c r="H55" s="84"/>
    </x:row>
    <x:row r="56">
      <x:c r="A56" s="105" t="str">
        <x:v>Production-readiness spend month</x:v>
      </x:c>
      <x:c r="B56" s="105" t="str">
        <x:v>month</x:v>
      </x:c>
      <x:c r="C56" s="106" t="n">
        <x:v>99</x:v>
      </x:c>
      <x:c r="D56" s="106" t="n">
        <x:v>10</x:v>
      </x:c>
      <x:c r="E56" s="106" t="n">
        <x:v>7</x:v>
      </x:c>
      <x:c r="F56" s="102" t="str">
        <x:v>99 means not incurred in the forecast.</x:v>
      </x:c>
      <x:c r="G56" s="84"/>
      <x:c r="H56" s="84"/>
    </x:row>
    <x:row r="57">
      <x:c r="A57" s="105" t="str">
        <x:v>Repeatable-delivery spend</x:v>
      </x:c>
      <x:c r="B57" s="105" t="str">
        <x:v>$ one-time</x:v>
      </x:c>
      <x:c r="C57" s="108" t="n">
        <x:v>0</x:v>
      </x:c>
      <x:c r="D57" s="108" t="n">
        <x:v>25000</x:v>
      </x:c>
      <x:c r="E57" s="108" t="n">
        <x:v>30000</x:v>
      </x:c>
      <x:c r="F57" s="102" t="str">
        <x:v>Evidence-gated capacity, automation, proof assets, and hardening.</x:v>
      </x:c>
      <x:c r="G57" s="84"/>
      <x:c r="H57" s="84"/>
    </x:row>
    <x:row r="58">
      <x:c r="A58" s="105" t="str">
        <x:v>Repeatable-delivery spend month</x:v>
      </x:c>
      <x:c r="B58" s="105" t="str">
        <x:v>month</x:v>
      </x:c>
      <x:c r="C58" s="106" t="n">
        <x:v>99</x:v>
      </x:c>
      <x:c r="D58" s="106" t="n">
        <x:v>16</x:v>
      </x:c>
      <x:c r="E58" s="106" t="n">
        <x:v>12</x:v>
      </x:c>
      <x:c r="F58" s="102" t="str">
        <x:v>99 means not incurred in the forecast.</x:v>
      </x:c>
      <x:c r="G58" s="84"/>
      <x:c r="H58" s="84"/>
    </x:row>
    <x:row r="59">
      <x:c r="A59" s="105" t="str">
        <x:v>Same-month cash collection</x:v>
      </x:c>
      <x:c r="B59" s="105" t="str">
        <x:v>% of revenue</x:v>
      </x:c>
      <x:c r="C59" s="107" t="n">
        <x:v>0.85</x:v>
      </x:c>
      <x:c r="D59" s="107" t="n">
        <x:v>0.95</x:v>
      </x:c>
      <x:c r="E59" s="107" t="n">
        <x:v>0.98</x:v>
      </x:c>
      <x:c r="F59" s="102" t="str">
        <x:v>Recurring is in advance; launch milestones reduce receivable exposure.</x:v>
      </x:c>
      <x:c r="G59" s="84"/>
      <x:c r="H59" s="84"/>
    </x:row>
    <x:row r="60">
      <x:c r="A60" s="105" t="str">
        <x:v>Initial sponsor capital</x:v>
      </x:c>
      <x:c r="B60" s="105" t="str">
        <x:v>$</x:v>
      </x:c>
      <x:c r="C60" s="108" t="n">
        <x:v>5000</x:v>
      </x:c>
      <x:c r="D60" s="108" t="n">
        <x:v>5000</x:v>
      </x:c>
      <x:c r="E60" s="108" t="n">
        <x:v>5000</x:v>
      </x:c>
      <x:c r="F60" s="102" t="str">
        <x:v>Month 1 experiment capital.</x:v>
      </x:c>
      <x:c r="G60" s="84"/>
      <x:c r="H60" s="84"/>
    </x:row>
    <x:row r="61">
      <x:c r="A61" s="105" t="str">
        <x:v>Tranche 2 sponsor capital</x:v>
      </x:c>
      <x:c r="B61" s="105" t="str">
        <x:v>$</x:v>
      </x:c>
      <x:c r="C61" s="108" t="n">
        <x:v>0</x:v>
      </x:c>
      <x:c r="D61" s="108" t="n">
        <x:v>12500</x:v>
      </x:c>
      <x:c r="E61" s="108" t="n">
        <x:v>15000</x:v>
      </x:c>
      <x:c r="F61" s="102" t="str">
        <x:v>Released only if evidence gate is met.</x:v>
      </x:c>
      <x:c r="G61" s="84"/>
      <x:c r="H61" s="84"/>
    </x:row>
    <x:row r="62">
      <x:c r="A62" s="105" t="str">
        <x:v>Tranche 2 capital month</x:v>
      </x:c>
      <x:c r="B62" s="105" t="str">
        <x:v>month</x:v>
      </x:c>
      <x:c r="C62" s="106" t="n">
        <x:v>99</x:v>
      </x:c>
      <x:c r="D62" s="106" t="n">
        <x:v>10</x:v>
      </x:c>
      <x:c r="E62" s="106" t="n">
        <x:v>7</x:v>
      </x:c>
      <x:c r="F62" s="102" t="str">
        <x:v>Timing proxy, not a commitment.</x:v>
      </x:c>
      <x:c r="G62" s="84"/>
      <x:c r="H62" s="84"/>
    </x:row>
    <x:row r="63">
      <x:c r="A63" s="105" t="str">
        <x:v>Tranche 3 sponsor capital</x:v>
      </x:c>
      <x:c r="B63" s="105" t="str">
        <x:v>$</x:v>
      </x:c>
      <x:c r="C63" s="108" t="n">
        <x:v>0</x:v>
      </x:c>
      <x:c r="D63" s="108" t="n">
        <x:v>25000</x:v>
      </x:c>
      <x:c r="E63" s="108" t="n">
        <x:v>30000</x:v>
      </x:c>
      <x:c r="F63" s="102" t="str">
        <x:v>Released only if evidence gate is met.</x:v>
      </x:c>
      <x:c r="G63" s="84"/>
      <x:c r="H63" s="84"/>
    </x:row>
    <x:row r="64">
      <x:c r="A64" s="105" t="str">
        <x:v>Tranche 3 capital month</x:v>
      </x:c>
      <x:c r="B64" s="105" t="str">
        <x:v>month</x:v>
      </x:c>
      <x:c r="C64" s="106" t="n">
        <x:v>99</x:v>
      </x:c>
      <x:c r="D64" s="106" t="n">
        <x:v>16</x:v>
      </x:c>
      <x:c r="E64" s="106" t="n">
        <x:v>12</x:v>
      </x:c>
      <x:c r="F64" s="102" t="str">
        <x:v>Timing proxy, not a commitment.</x:v>
      </x:c>
      <x:c r="G64" s="84"/>
      <x:c r="H64" s="84"/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47ffc68e17664f4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>
      <x:c r="A1" s="3" t="str">
        <x:v>DIRTYWORKS.AI / 36-MONTH OPERATING + CASH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</x:row>
    <x:row r="2">
      <x:c r="A2" s="84" t="str">
        <x:v>Convention</x:v>
      </x:c>
      <x:c r="B2" s="109" t="str">
        <x:v>Monthly, CAD, excluding GST. Revenue is an unconstrained demand view; flex subcontracting makes capacity needs and margin compression visible. No debt, income tax, depreciation, or pass-through licence revenue is modeled.</x:v>
      </x:c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  <x:c r="Q2" s="109"/>
      <x:c r="R2" s="109"/>
      <x:c r="S2" s="109"/>
      <x:c r="T2" s="109"/>
      <x:c r="U2" s="109"/>
      <x:c r="V2" s="109"/>
      <x:c r="W2" s="109"/>
      <x:c r="X2" s="109"/>
      <x:c r="Y2" s="109"/>
      <x:c r="Z2" s="109"/>
      <x:c r="AA2" s="109"/>
      <x:c r="AB2" s="109"/>
      <x:c r="AC2" s="109"/>
      <x:c r="AD2" s="109"/>
      <x:c r="AE2" s="109"/>
      <x:c r="AF2" s="109"/>
      <x:c r="AG2" s="109"/>
      <x:c r="AH2" s="109"/>
      <x:c r="AI2" s="109"/>
      <x:c r="AJ2" s="109"/>
      <x:c r="AK2" s="109"/>
      <x:c r="AL2" s="109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/>
      <x:c r="V3" s="84"/>
      <x:c r="W3" s="84"/>
      <x:c r="X3" s="84"/>
      <x:c r="Y3" s="84"/>
      <x:c r="Z3" s="84"/>
      <x:c r="AA3" s="84"/>
      <x:c r="AB3" s="84"/>
      <x:c r="AC3" s="84"/>
      <x:c r="AD3" s="84"/>
      <x:c r="AE3" s="84"/>
      <x:c r="AF3" s="84"/>
      <x:c r="AG3" s="84"/>
      <x:c r="AH3" s="84"/>
      <x:c r="AI3" s="84"/>
      <x:c r="AJ3" s="84"/>
      <x:c r="AK3" s="84"/>
      <x:c r="AL3" s="84"/>
    </x:row>
    <x:row r="4">
      <x:c r="A4" s="110" t="str">
        <x:v>DOWNSIDE</x:v>
      </x:c>
      <x:c r="B4" s="110"/>
      <x:c r="C4" s="110"/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11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  <x:c r="AA4" s="110"/>
      <x:c r="AB4" s="110"/>
      <x:c r="AC4" s="110"/>
      <x:c r="AD4" s="110"/>
      <x:c r="AE4" s="110"/>
      <x:c r="AF4" s="110"/>
      <x:c r="AG4" s="110"/>
      <x:c r="AH4" s="110"/>
      <x:c r="AI4" s="110"/>
      <x:c r="AJ4" s="110"/>
      <x:c r="AK4" s="110"/>
      <x:c r="AL4" s="110"/>
    </x:row>
    <x:row r="5">
      <x:c r="A5" s="84" t="str">
        <x:v>Metric</x:v>
      </x:c>
      <x:c r="B5" s="84" t="str">
        <x:v>Unit</x:v>
      </x:c>
      <x:c r="C5" s="84" t="n">
        <x:v>1</x:v>
      </x:c>
      <x:c r="D5" s="84" t="n">
        <x:v>2</x:v>
      </x:c>
      <x:c r="E5" s="84" t="n">
        <x:v>3</x:v>
      </x:c>
      <x:c r="F5" s="84" t="n">
        <x:v>4</x:v>
      </x:c>
      <x:c r="G5" s="84" t="n">
        <x:v>5</x:v>
      </x:c>
      <x:c r="H5" s="84" t="n">
        <x:v>6</x:v>
      </x:c>
      <x:c r="I5" s="84" t="n">
        <x:v>7</x:v>
      </x:c>
      <x:c r="J5" s="84" t="n">
        <x:v>8</x:v>
      </x:c>
      <x:c r="K5" s="84" t="n">
        <x:v>9</x:v>
      </x:c>
      <x:c r="L5" s="84" t="n">
        <x:v>10</x:v>
      </x:c>
      <x:c r="M5" s="84" t="n">
        <x:v>11</x:v>
      </x:c>
      <x:c r="N5" s="84" t="n">
        <x:v>12</x:v>
      </x:c>
      <x:c r="O5" s="84" t="n">
        <x:v>13</x:v>
      </x:c>
      <x:c r="P5" s="84" t="n">
        <x:v>14</x:v>
      </x:c>
      <x:c r="Q5" s="84" t="n">
        <x:v>15</x:v>
      </x:c>
      <x:c r="R5" s="84" t="n">
        <x:v>16</x:v>
      </x:c>
      <x:c r="S5" s="84" t="n">
        <x:v>17</x:v>
      </x:c>
      <x:c r="T5" s="84" t="n">
        <x:v>18</x:v>
      </x:c>
      <x:c r="U5" s="84" t="n">
        <x:v>19</x:v>
      </x:c>
      <x:c r="V5" s="84" t="n">
        <x:v>20</x:v>
      </x:c>
      <x:c r="W5" s="84" t="n">
        <x:v>21</x:v>
      </x:c>
      <x:c r="X5" s="84" t="n">
        <x:v>22</x:v>
      </x:c>
      <x:c r="Y5" s="84" t="n">
        <x:v>23</x:v>
      </x:c>
      <x:c r="Z5" s="84" t="n">
        <x:v>24</x:v>
      </x:c>
      <x:c r="AA5" s="84" t="n">
        <x:v>25</x:v>
      </x:c>
      <x:c r="AB5" s="84" t="n">
        <x:v>26</x:v>
      </x:c>
      <x:c r="AC5" s="84" t="n">
        <x:v>27</x:v>
      </x:c>
      <x:c r="AD5" s="84" t="n">
        <x:v>28</x:v>
      </x:c>
      <x:c r="AE5" s="84" t="n">
        <x:v>29</x:v>
      </x:c>
      <x:c r="AF5" s="84" t="n">
        <x:v>30</x:v>
      </x:c>
      <x:c r="AG5" s="84" t="n">
        <x:v>31</x:v>
      </x:c>
      <x:c r="AH5" s="84" t="n">
        <x:v>32</x:v>
      </x:c>
      <x:c r="AI5" s="84" t="n">
        <x:v>33</x:v>
      </x:c>
      <x:c r="AJ5" s="84" t="n">
        <x:v>34</x:v>
      </x:c>
      <x:c r="AK5" s="84" t="n">
        <x:v>35</x:v>
      </x:c>
      <x:c r="AL5" s="84" t="n">
        <x:v>36</x:v>
      </x:c>
    </x:row>
    <x:row r="6">
      <x:c r="A6" s="84" t="str">
        <x:v>Month number</x:v>
      </x:c>
      <x:c r="B6" s="84" t="str">
        <x:v>#</x:v>
      </x:c>
      <x:c r="C6" s="105" t="n">
        <x:f>1</x:f>
        <x:v>1</x:v>
      </x:c>
      <x:c r="D6" s="105" t="n">
        <x:f>2</x:f>
        <x:v>2</x:v>
      </x:c>
      <x:c r="E6" s="105" t="n">
        <x:f>3</x:f>
        <x:v>3</x:v>
      </x:c>
      <x:c r="F6" s="105" t="n">
        <x:f>4</x:f>
        <x:v>4</x:v>
      </x:c>
      <x:c r="G6" s="105" t="n">
        <x:f>5</x:f>
        <x:v>5</x:v>
      </x:c>
      <x:c r="H6" s="105" t="n">
        <x:f>6</x:f>
        <x:v>6</x:v>
      </x:c>
      <x:c r="I6" s="105" t="n">
        <x:f>7</x:f>
        <x:v>7</x:v>
      </x:c>
      <x:c r="J6" s="105" t="n">
        <x:f>8</x:f>
        <x:v>8</x:v>
      </x:c>
      <x:c r="K6" s="105" t="n">
        <x:f>9</x:f>
        <x:v>9</x:v>
      </x:c>
      <x:c r="L6" s="105" t="n">
        <x:f>10</x:f>
        <x:v>10</x:v>
      </x:c>
      <x:c r="M6" s="105" t="n">
        <x:f>11</x:f>
        <x:v>11</x:v>
      </x:c>
      <x:c r="N6" s="105" t="n">
        <x:f>12</x:f>
        <x:v>12</x:v>
      </x:c>
      <x:c r="O6" s="105" t="n">
        <x:f>13</x:f>
        <x:v>13</x:v>
      </x:c>
      <x:c r="P6" s="105" t="n">
        <x:f>14</x:f>
        <x:v>14</x:v>
      </x:c>
      <x:c r="Q6" s="105" t="n">
        <x:f>15</x:f>
        <x:v>15</x:v>
      </x:c>
      <x:c r="R6" s="105" t="n">
        <x:f>16</x:f>
        <x:v>16</x:v>
      </x:c>
      <x:c r="S6" s="105" t="n">
        <x:f>17</x:f>
        <x:v>17</x:v>
      </x:c>
      <x:c r="T6" s="105" t="n">
        <x:f>18</x:f>
        <x:v>18</x:v>
      </x:c>
      <x:c r="U6" s="105" t="n">
        <x:f>19</x:f>
        <x:v>19</x:v>
      </x:c>
      <x:c r="V6" s="105" t="n">
        <x:f>20</x:f>
        <x:v>20</x:v>
      </x:c>
      <x:c r="W6" s="105" t="n">
        <x:f>21</x:f>
        <x:v>21</x:v>
      </x:c>
      <x:c r="X6" s="105" t="n">
        <x:f>22</x:f>
        <x:v>22</x:v>
      </x:c>
      <x:c r="Y6" s="105" t="n">
        <x:f>23</x:f>
        <x:v>23</x:v>
      </x:c>
      <x:c r="Z6" s="105" t="n">
        <x:f>24</x:f>
        <x:v>24</x:v>
      </x:c>
      <x:c r="AA6" s="105" t="n">
        <x:f>25</x:f>
        <x:v>25</x:v>
      </x:c>
      <x:c r="AB6" s="105" t="n">
        <x:f>26</x:f>
        <x:v>26</x:v>
      </x:c>
      <x:c r="AC6" s="105" t="n">
        <x:f>27</x:f>
        <x:v>27</x:v>
      </x:c>
      <x:c r="AD6" s="105" t="n">
        <x:f>28</x:f>
        <x:v>28</x:v>
      </x:c>
      <x:c r="AE6" s="105" t="n">
        <x:f>29</x:f>
        <x:v>29</x:v>
      </x:c>
      <x:c r="AF6" s="105" t="n">
        <x:f>30</x:f>
        <x:v>30</x:v>
      </x:c>
      <x:c r="AG6" s="105" t="n">
        <x:f>31</x:f>
        <x:v>31</x:v>
      </x:c>
      <x:c r="AH6" s="105" t="n">
        <x:f>32</x:f>
        <x:v>32</x:v>
      </x:c>
      <x:c r="AI6" s="105" t="n">
        <x:f>33</x:f>
        <x:v>33</x:v>
      </x:c>
      <x:c r="AJ6" s="105" t="n">
        <x:f>34</x:f>
        <x:v>34</x:v>
      </x:c>
      <x:c r="AK6" s="105" t="n">
        <x:f>35</x:f>
        <x:v>35</x:v>
      </x:c>
      <x:c r="AL6" s="105" t="n">
        <x:f>36</x:f>
        <x:v>36</x:v>
      </x:c>
    </x:row>
    <x:row r="7">
      <x:c r="A7" s="84" t="str">
        <x:v>Month</x:v>
      </x:c>
      <x:c r="B7" s="84" t="str">
        <x:v>date</x:v>
      </x:c>
      <x:c r="C7" s="111" t="n">
        <x:f>DATE(2026,9,1)</x:f>
        <x:v>46266</x:v>
      </x:c>
      <x:c r="D7" s="111" t="n">
        <x:f>EDATE(C7,1)</x:f>
        <x:v>46296</x:v>
      </x:c>
      <x:c r="E7" s="111" t="n">
        <x:f>EDATE(D7,1)</x:f>
        <x:v>46327</x:v>
      </x:c>
      <x:c r="F7" s="111" t="n">
        <x:f>EDATE(E7,1)</x:f>
        <x:v>46357</x:v>
      </x:c>
      <x:c r="G7" s="111" t="n">
        <x:f>EDATE(F7,1)</x:f>
        <x:v>46388</x:v>
      </x:c>
      <x:c r="H7" s="111" t="n">
        <x:f>EDATE(G7,1)</x:f>
        <x:v>46419</x:v>
      </x:c>
      <x:c r="I7" s="111" t="n">
        <x:f>EDATE(H7,1)</x:f>
        <x:v>46447</x:v>
      </x:c>
      <x:c r="J7" s="111" t="n">
        <x:f>EDATE(I7,1)</x:f>
        <x:v>46478</x:v>
      </x:c>
      <x:c r="K7" s="111" t="n">
        <x:f>EDATE(J7,1)</x:f>
        <x:v>46508</x:v>
      </x:c>
      <x:c r="L7" s="111" t="n">
        <x:f>EDATE(K7,1)</x:f>
        <x:v>46539</x:v>
      </x:c>
      <x:c r="M7" s="111" t="n">
        <x:f>EDATE(L7,1)</x:f>
        <x:v>46569</x:v>
      </x:c>
      <x:c r="N7" s="111" t="n">
        <x:f>EDATE(M7,1)</x:f>
        <x:v>46600</x:v>
      </x:c>
      <x:c r="O7" s="111" t="n">
        <x:f>EDATE(N7,1)</x:f>
        <x:v>46631</x:v>
      </x:c>
      <x:c r="P7" s="111" t="n">
        <x:f>EDATE(O7,1)</x:f>
        <x:v>46661</x:v>
      </x:c>
      <x:c r="Q7" s="111" t="n">
        <x:f>EDATE(P7,1)</x:f>
        <x:v>46692</x:v>
      </x:c>
      <x:c r="R7" s="111" t="n">
        <x:f>EDATE(Q7,1)</x:f>
        <x:v>46722</x:v>
      </x:c>
      <x:c r="S7" s="111" t="n">
        <x:f>EDATE(R7,1)</x:f>
        <x:v>46753</x:v>
      </x:c>
      <x:c r="T7" s="111" t="n">
        <x:f>EDATE(S7,1)</x:f>
        <x:v>46784</x:v>
      </x:c>
      <x:c r="U7" s="111" t="n">
        <x:f>EDATE(T7,1)</x:f>
        <x:v>46813</x:v>
      </x:c>
      <x:c r="V7" s="111" t="n">
        <x:f>EDATE(U7,1)</x:f>
        <x:v>46844</x:v>
      </x:c>
      <x:c r="W7" s="111" t="n">
        <x:f>EDATE(V7,1)</x:f>
        <x:v>46874</x:v>
      </x:c>
      <x:c r="X7" s="111" t="n">
        <x:f>EDATE(W7,1)</x:f>
        <x:v>46905</x:v>
      </x:c>
      <x:c r="Y7" s="111" t="n">
        <x:f>EDATE(X7,1)</x:f>
        <x:v>46935</x:v>
      </x:c>
      <x:c r="Z7" s="111" t="n">
        <x:f>EDATE(Y7,1)</x:f>
        <x:v>46966</x:v>
      </x:c>
      <x:c r="AA7" s="111" t="n">
        <x:f>EDATE(Z7,1)</x:f>
        <x:v>46997</x:v>
      </x:c>
      <x:c r="AB7" s="111" t="n">
        <x:f>EDATE(AA7,1)</x:f>
        <x:v>47027</x:v>
      </x:c>
      <x:c r="AC7" s="111" t="n">
        <x:f>EDATE(AB7,1)</x:f>
        <x:v>47058</x:v>
      </x:c>
      <x:c r="AD7" s="111" t="n">
        <x:f>EDATE(AC7,1)</x:f>
        <x:v>47088</x:v>
      </x:c>
      <x:c r="AE7" s="111" t="n">
        <x:f>EDATE(AD7,1)</x:f>
        <x:v>47119</x:v>
      </x:c>
      <x:c r="AF7" s="111" t="n">
        <x:f>EDATE(AE7,1)</x:f>
        <x:v>47150</x:v>
      </x:c>
      <x:c r="AG7" s="111" t="n">
        <x:f>EDATE(AF7,1)</x:f>
        <x:v>47178</x:v>
      </x:c>
      <x:c r="AH7" s="111" t="n">
        <x:f>EDATE(AG7,1)</x:f>
        <x:v>47209</x:v>
      </x:c>
      <x:c r="AI7" s="111" t="n">
        <x:f>EDATE(AH7,1)</x:f>
        <x:v>47239</x:v>
      </x:c>
      <x:c r="AJ7" s="111" t="n">
        <x:f>EDATE(AI7,1)</x:f>
        <x:v>47270</x:v>
      </x:c>
      <x:c r="AK7" s="111" t="n">
        <x:f>EDATE(AJ7,1)</x:f>
        <x:v>47300</x:v>
      </x:c>
      <x:c r="AL7" s="111" t="n">
        <x:f>EDATE(AK7,1)</x:f>
        <x:v>47331</x:v>
      </x:c>
    </x:row>
    <x:row r="8">
      <x:c r="A8" s="63" t="str">
        <x:v>PAID ACQUISITION + CUSTOMER COHORT</x:v>
      </x:c>
      <x:c r="B8" s="63" t="str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2"/>
      <x:c r="P8" s="112"/>
      <x:c r="Q8" s="112"/>
      <x:c r="R8" s="112"/>
      <x:c r="S8" s="112"/>
      <x:c r="T8" s="112"/>
      <x:c r="U8" s="112"/>
      <x:c r="V8" s="112"/>
      <x:c r="W8" s="112"/>
      <x:c r="X8" s="112"/>
      <x:c r="Y8" s="112"/>
      <x:c r="Z8" s="112"/>
      <x:c r="AA8" s="112"/>
      <x:c r="AB8" s="112"/>
      <x:c r="AC8" s="112"/>
      <x:c r="AD8" s="112"/>
      <x:c r="AE8" s="112"/>
      <x:c r="AF8" s="112"/>
      <x:c r="AG8" s="112"/>
      <x:c r="AH8" s="112"/>
      <x:c r="AI8" s="112"/>
      <x:c r="AJ8" s="112"/>
      <x:c r="AK8" s="112"/>
      <x:c r="AL8" s="112"/>
    </x:row>
    <x:row r="9">
      <x:c r="A9" s="84" t="str">
        <x:v>Paid reviews</x:v>
      </x:c>
      <x:c r="B9" s="84" t="str">
        <x:v>count</x:v>
      </x:c>
      <x:c r="C9" s="113" t="n">
        <x:f>'Scenarios'!$C$25</x:f>
        <x:v>0.17</x:v>
      </x:c>
      <x:c r="D9" s="113" t="n">
        <x:f>'Scenarios'!$C$25</x:f>
        <x:v>0.17</x:v>
      </x:c>
      <x:c r="E9" s="113" t="n">
        <x:f>'Scenarios'!$C$25</x:f>
        <x:v>0.17</x:v>
      </x:c>
      <x:c r="F9" s="113" t="n">
        <x:f>'Scenarios'!$C$26</x:f>
        <x:v>0.33</x:v>
      </x:c>
      <x:c r="G9" s="113" t="n">
        <x:f>'Scenarios'!$C$26</x:f>
        <x:v>0.33</x:v>
      </x:c>
      <x:c r="H9" s="113" t="n">
        <x:f>'Scenarios'!$C$26</x:f>
        <x:v>0.33</x:v>
      </x:c>
      <x:c r="I9" s="113" t="n">
        <x:f>'Scenarios'!$C$27</x:f>
        <x:v>0.33</x:v>
      </x:c>
      <x:c r="J9" s="113" t="n">
        <x:f>'Scenarios'!$C$27</x:f>
        <x:v>0.33</x:v>
      </x:c>
      <x:c r="K9" s="113" t="n">
        <x:f>'Scenarios'!$C$27</x:f>
        <x:v>0.33</x:v>
      </x:c>
      <x:c r="L9" s="113" t="n">
        <x:f>'Scenarios'!$C$27</x:f>
        <x:v>0.33</x:v>
      </x:c>
      <x:c r="M9" s="113" t="n">
        <x:f>'Scenarios'!$C$27</x:f>
        <x:v>0.33</x:v>
      </x:c>
      <x:c r="N9" s="113" t="n">
        <x:f>'Scenarios'!$C$27</x:f>
        <x:v>0.33</x:v>
      </x:c>
      <x:c r="O9" s="113" t="n">
        <x:f>'Scenarios'!$C$28</x:f>
        <x:v>0.5</x:v>
      </x:c>
      <x:c r="P9" s="113" t="n">
        <x:f>'Scenarios'!$C$28</x:f>
        <x:v>0.5</x:v>
      </x:c>
      <x:c r="Q9" s="113" t="n">
        <x:f>'Scenarios'!$C$28</x:f>
        <x:v>0.5</x:v>
      </x:c>
      <x:c r="R9" s="113" t="n">
        <x:f>'Scenarios'!$C$28</x:f>
        <x:v>0.5</x:v>
      </x:c>
      <x:c r="S9" s="113" t="n">
        <x:f>'Scenarios'!$C$28</x:f>
        <x:v>0.5</x:v>
      </x:c>
      <x:c r="T9" s="113" t="n">
        <x:f>'Scenarios'!$C$28</x:f>
        <x:v>0.5</x:v>
      </x:c>
      <x:c r="U9" s="113" t="n">
        <x:f>'Scenarios'!$C$29</x:f>
        <x:v>0.67</x:v>
      </x:c>
      <x:c r="V9" s="113" t="n">
        <x:f>'Scenarios'!$C$29</x:f>
        <x:v>0.67</x:v>
      </x:c>
      <x:c r="W9" s="113" t="n">
        <x:f>'Scenarios'!$C$29</x:f>
        <x:v>0.67</x:v>
      </x:c>
      <x:c r="X9" s="113" t="n">
        <x:f>'Scenarios'!$C$29</x:f>
        <x:v>0.67</x:v>
      </x:c>
      <x:c r="Y9" s="113" t="n">
        <x:f>'Scenarios'!$C$29</x:f>
        <x:v>0.67</x:v>
      </x:c>
      <x:c r="Z9" s="113" t="n">
        <x:f>'Scenarios'!$C$29</x:f>
        <x:v>0.67</x:v>
      </x:c>
      <x:c r="AA9" s="113" t="n">
        <x:f>'Scenarios'!$C$30</x:f>
        <x:v>0.75</x:v>
      </x:c>
      <x:c r="AB9" s="113" t="n">
        <x:f>'Scenarios'!$C$30</x:f>
        <x:v>0.75</x:v>
      </x:c>
      <x:c r="AC9" s="113" t="n">
        <x:f>'Scenarios'!$C$30</x:f>
        <x:v>0.75</x:v>
      </x:c>
      <x:c r="AD9" s="113" t="n">
        <x:f>'Scenarios'!$C$30</x:f>
        <x:v>0.75</x:v>
      </x:c>
      <x:c r="AE9" s="113" t="n">
        <x:f>'Scenarios'!$C$30</x:f>
        <x:v>0.75</x:v>
      </x:c>
      <x:c r="AF9" s="113" t="n">
        <x:f>'Scenarios'!$C$30</x:f>
        <x:v>0.75</x:v>
      </x:c>
      <x:c r="AG9" s="113" t="n">
        <x:f>'Scenarios'!$C$30</x:f>
        <x:v>0.75</x:v>
      </x:c>
      <x:c r="AH9" s="113" t="n">
        <x:f>'Scenarios'!$C$30</x:f>
        <x:v>0.75</x:v>
      </x:c>
      <x:c r="AI9" s="113" t="n">
        <x:f>'Scenarios'!$C$30</x:f>
        <x:v>0.75</x:v>
      </x:c>
      <x:c r="AJ9" s="113" t="n">
        <x:f>'Scenarios'!$C$30</x:f>
        <x:v>0.75</x:v>
      </x:c>
      <x:c r="AK9" s="113" t="n">
        <x:f>'Scenarios'!$C$30</x:f>
        <x:v>0.75</x:v>
      </x:c>
      <x:c r="AL9" s="113" t="n">
        <x:f>'Scenarios'!$C$30</x:f>
        <x:v>0.75</x:v>
      </x:c>
    </x:row>
    <x:row r="10">
      <x:c r="A10" s="84" t="str">
        <x:v>New launches</x:v>
      </x:c>
      <x:c r="B10" s="84" t="str">
        <x:v>count</x:v>
      </x:c>
      <x:c r="C10" s="113" t="n">
        <x:f>0</x:f>
        <x:v>0</x:v>
      </x:c>
      <x:c r="D10" s="113" t="n">
        <x:f>C9*'Scenarios'!$C$17</x:f>
        <x:v>0.0595</x:v>
      </x:c>
      <x:c r="E10" s="113" t="n">
        <x:f>D9*'Scenarios'!$C$17</x:f>
        <x:v>0.0595</x:v>
      </x:c>
      <x:c r="F10" s="113" t="n">
        <x:f>E9*'Scenarios'!$C$17</x:f>
        <x:v>0.0595</x:v>
      </x:c>
      <x:c r="G10" s="113" t="n">
        <x:f>F9*'Scenarios'!$C$17</x:f>
        <x:v>0.11549999999999999</x:v>
      </x:c>
      <x:c r="H10" s="113" t="n">
        <x:f>G9*'Scenarios'!$C$17</x:f>
        <x:v>0.11549999999999999</x:v>
      </x:c>
      <x:c r="I10" s="113" t="n">
        <x:f>H9*'Scenarios'!$C$17</x:f>
        <x:v>0.11549999999999999</x:v>
      </x:c>
      <x:c r="J10" s="113" t="n">
        <x:f>I9*'Scenarios'!$C$17</x:f>
        <x:v>0.11549999999999999</x:v>
      </x:c>
      <x:c r="K10" s="113" t="n">
        <x:f>J9*'Scenarios'!$C$17</x:f>
        <x:v>0.11549999999999999</x:v>
      </x:c>
      <x:c r="L10" s="113" t="n">
        <x:f>K9*'Scenarios'!$C$17</x:f>
        <x:v>0.11549999999999999</x:v>
      </x:c>
      <x:c r="M10" s="113" t="n">
        <x:f>L9*'Scenarios'!$C$17</x:f>
        <x:v>0.11549999999999999</x:v>
      </x:c>
      <x:c r="N10" s="113" t="n">
        <x:f>M9*'Scenarios'!$C$17</x:f>
        <x:v>0.11549999999999999</x:v>
      </x:c>
      <x:c r="O10" s="113" t="n">
        <x:f>N9*'Scenarios'!$C$17</x:f>
        <x:v>0.11549999999999999</x:v>
      </x:c>
      <x:c r="P10" s="113" t="n">
        <x:f>O9*'Scenarios'!$C$17</x:f>
        <x:v>0.175</x:v>
      </x:c>
      <x:c r="Q10" s="113" t="n">
        <x:f>P9*'Scenarios'!$C$17</x:f>
        <x:v>0.175</x:v>
      </x:c>
      <x:c r="R10" s="113" t="n">
        <x:f>Q9*'Scenarios'!$C$17</x:f>
        <x:v>0.175</x:v>
      </x:c>
      <x:c r="S10" s="113" t="n">
        <x:f>R9*'Scenarios'!$C$17</x:f>
        <x:v>0.175</x:v>
      </x:c>
      <x:c r="T10" s="113" t="n">
        <x:f>S9*'Scenarios'!$C$17</x:f>
        <x:v>0.175</x:v>
      </x:c>
      <x:c r="U10" s="113" t="n">
        <x:f>T9*'Scenarios'!$C$17</x:f>
        <x:v>0.175</x:v>
      </x:c>
      <x:c r="V10" s="113" t="n">
        <x:f>U9*'Scenarios'!$C$17</x:f>
        <x:v>0.2345</x:v>
      </x:c>
      <x:c r="W10" s="113" t="n">
        <x:f>V9*'Scenarios'!$C$17</x:f>
        <x:v>0.2345</x:v>
      </x:c>
      <x:c r="X10" s="113" t="n">
        <x:f>W9*'Scenarios'!$C$17</x:f>
        <x:v>0.2345</x:v>
      </x:c>
      <x:c r="Y10" s="113" t="n">
        <x:f>X9*'Scenarios'!$C$17</x:f>
        <x:v>0.2345</x:v>
      </x:c>
      <x:c r="Z10" s="113" t="n">
        <x:f>Y9*'Scenarios'!$C$17</x:f>
        <x:v>0.2345</x:v>
      </x:c>
      <x:c r="AA10" s="113" t="n">
        <x:f>Z9*'Scenarios'!$C$17</x:f>
        <x:v>0.2345</x:v>
      </x:c>
      <x:c r="AB10" s="113" t="n">
        <x:f>AA9*'Scenarios'!$C$17</x:f>
        <x:v>0.26249999999999996</x:v>
      </x:c>
      <x:c r="AC10" s="113" t="n">
        <x:f>AB9*'Scenarios'!$C$17</x:f>
        <x:v>0.26249999999999996</x:v>
      </x:c>
      <x:c r="AD10" s="113" t="n">
        <x:f>AC9*'Scenarios'!$C$17</x:f>
        <x:v>0.26249999999999996</x:v>
      </x:c>
      <x:c r="AE10" s="113" t="n">
        <x:f>AD9*'Scenarios'!$C$17</x:f>
        <x:v>0.26249999999999996</x:v>
      </x:c>
      <x:c r="AF10" s="113" t="n">
        <x:f>AE9*'Scenarios'!$C$17</x:f>
        <x:v>0.26249999999999996</x:v>
      </x:c>
      <x:c r="AG10" s="113" t="n">
        <x:f>AF9*'Scenarios'!$C$17</x:f>
        <x:v>0.26249999999999996</x:v>
      </x:c>
      <x:c r="AH10" s="113" t="n">
        <x:f>AG9*'Scenarios'!$C$17</x:f>
        <x:v>0.26249999999999996</x:v>
      </x:c>
      <x:c r="AI10" s="113" t="n">
        <x:f>AH9*'Scenarios'!$C$17</x:f>
        <x:v>0.26249999999999996</x:v>
      </x:c>
      <x:c r="AJ10" s="113" t="n">
        <x:f>AI9*'Scenarios'!$C$17</x:f>
        <x:v>0.26249999999999996</x:v>
      </x:c>
      <x:c r="AK10" s="113" t="n">
        <x:f>AJ9*'Scenarios'!$C$17</x:f>
        <x:v>0.26249999999999996</x:v>
      </x:c>
      <x:c r="AL10" s="113" t="n">
        <x:f>AK9*'Scenarios'!$C$17</x:f>
        <x:v>0.26249999999999996</x:v>
      </x:c>
    </x:row>
    <x:row r="11">
      <x:c r="A11" s="84" t="str">
        <x:v>New managed accounts</x:v>
      </x:c>
      <x:c r="B11" s="84" t="str">
        <x:v>count</x:v>
      </x:c>
      <x:c r="C11" s="113" t="n">
        <x:f>0</x:f>
        <x:v>0</x:v>
      </x:c>
      <x:c r="D11" s="113" t="n">
        <x:f>C10*'Scenarios'!$C$18</x:f>
        <x:v>0</x:v>
      </x:c>
      <x:c r="E11" s="113" t="n">
        <x:f>D10*'Scenarios'!$C$18</x:f>
        <x:v>0.02975</x:v>
      </x:c>
      <x:c r="F11" s="113" t="n">
        <x:f>E10*'Scenarios'!$C$18</x:f>
        <x:v>0.02975</x:v>
      </x:c>
      <x:c r="G11" s="113" t="n">
        <x:f>F10*'Scenarios'!$C$18</x:f>
        <x:v>0.02975</x:v>
      </x:c>
      <x:c r="H11" s="113" t="n">
        <x:f>G10*'Scenarios'!$C$18</x:f>
        <x:v>0.057749999999999996</x:v>
      </x:c>
      <x:c r="I11" s="113" t="n">
        <x:f>H10*'Scenarios'!$C$18</x:f>
        <x:v>0.057749999999999996</x:v>
      </x:c>
      <x:c r="J11" s="113" t="n">
        <x:f>I10*'Scenarios'!$C$18</x:f>
        <x:v>0.057749999999999996</x:v>
      </x:c>
      <x:c r="K11" s="113" t="n">
        <x:f>J10*'Scenarios'!$C$18</x:f>
        <x:v>0.057749999999999996</x:v>
      </x:c>
      <x:c r="L11" s="113" t="n">
        <x:f>K10*'Scenarios'!$C$18</x:f>
        <x:v>0.057749999999999996</x:v>
      </x:c>
      <x:c r="M11" s="113" t="n">
        <x:f>L10*'Scenarios'!$C$18</x:f>
        <x:v>0.057749999999999996</x:v>
      </x:c>
      <x:c r="N11" s="113" t="n">
        <x:f>M10*'Scenarios'!$C$18</x:f>
        <x:v>0.057749999999999996</x:v>
      </x:c>
      <x:c r="O11" s="113" t="n">
        <x:f>N10*'Scenarios'!$C$18</x:f>
        <x:v>0.057749999999999996</x:v>
      </x:c>
      <x:c r="P11" s="113" t="n">
        <x:f>O10*'Scenarios'!$C$18</x:f>
        <x:v>0.057749999999999996</x:v>
      </x:c>
      <x:c r="Q11" s="113" t="n">
        <x:f>P10*'Scenarios'!$C$18</x:f>
        <x:v>0.0875</x:v>
      </x:c>
      <x:c r="R11" s="113" t="n">
        <x:f>Q10*'Scenarios'!$C$18</x:f>
        <x:v>0.0875</x:v>
      </x:c>
      <x:c r="S11" s="113" t="n">
        <x:f>R10*'Scenarios'!$C$18</x:f>
        <x:v>0.0875</x:v>
      </x:c>
      <x:c r="T11" s="113" t="n">
        <x:f>S10*'Scenarios'!$C$18</x:f>
        <x:v>0.0875</x:v>
      </x:c>
      <x:c r="U11" s="113" t="n">
        <x:f>T10*'Scenarios'!$C$18</x:f>
        <x:v>0.0875</x:v>
      </x:c>
      <x:c r="V11" s="113" t="n">
        <x:f>U10*'Scenarios'!$C$18</x:f>
        <x:v>0.0875</x:v>
      </x:c>
      <x:c r="W11" s="113" t="n">
        <x:f>V10*'Scenarios'!$C$18</x:f>
        <x:v>0.11725</x:v>
      </x:c>
      <x:c r="X11" s="113" t="n">
        <x:f>W10*'Scenarios'!$C$18</x:f>
        <x:v>0.11725</x:v>
      </x:c>
      <x:c r="Y11" s="113" t="n">
        <x:f>X10*'Scenarios'!$C$18</x:f>
        <x:v>0.11725</x:v>
      </x:c>
      <x:c r="Z11" s="113" t="n">
        <x:f>Y10*'Scenarios'!$C$18</x:f>
        <x:v>0.11725</x:v>
      </x:c>
      <x:c r="AA11" s="113" t="n">
        <x:f>Z10*'Scenarios'!$C$18</x:f>
        <x:v>0.11725</x:v>
      </x:c>
      <x:c r="AB11" s="113" t="n">
        <x:f>AA10*'Scenarios'!$C$18</x:f>
        <x:v>0.11725</x:v>
      </x:c>
      <x:c r="AC11" s="113" t="n">
        <x:f>AB10*'Scenarios'!$C$18</x:f>
        <x:v>0.13124999999999998</x:v>
      </x:c>
      <x:c r="AD11" s="113" t="n">
        <x:f>AC10*'Scenarios'!$C$18</x:f>
        <x:v>0.13124999999999998</x:v>
      </x:c>
      <x:c r="AE11" s="113" t="n">
        <x:f>AD10*'Scenarios'!$C$18</x:f>
        <x:v>0.13124999999999998</x:v>
      </x:c>
      <x:c r="AF11" s="113" t="n">
        <x:f>AE10*'Scenarios'!$C$18</x:f>
        <x:v>0.13124999999999998</x:v>
      </x:c>
      <x:c r="AG11" s="113" t="n">
        <x:f>AF10*'Scenarios'!$C$18</x:f>
        <x:v>0.13124999999999998</x:v>
      </x:c>
      <x:c r="AH11" s="113" t="n">
        <x:f>AG10*'Scenarios'!$C$18</x:f>
        <x:v>0.13124999999999998</x:v>
      </x:c>
      <x:c r="AI11" s="113" t="n">
        <x:f>AH10*'Scenarios'!$C$18</x:f>
        <x:v>0.13124999999999998</x:v>
      </x:c>
      <x:c r="AJ11" s="113" t="n">
        <x:f>AI10*'Scenarios'!$C$18</x:f>
        <x:v>0.13124999999999998</x:v>
      </x:c>
      <x:c r="AK11" s="113" t="n">
        <x:f>AJ10*'Scenarios'!$C$18</x:f>
        <x:v>0.13124999999999998</x:v>
      </x:c>
      <x:c r="AL11" s="113" t="n">
        <x:f>AK10*'Scenarios'!$C$18</x:f>
        <x:v>0.13124999999999998</x:v>
      </x:c>
    </x:row>
    <x:row r="12">
      <x:c r="A12" s="84" t="str">
        <x:v>Churned accounts</x:v>
      </x:c>
      <x:c r="B12" s="84" t="str">
        <x:v>count</x:v>
      </x:c>
      <x:c r="C12" s="113" t="n">
        <x:f>0</x:f>
        <x:v>0</x:v>
      </x:c>
      <x:c r="D12" s="113" t="n">
        <x:f>C13*'Scenarios'!$C$8</x:f>
        <x:v>0</x:v>
      </x:c>
      <x:c r="E12" s="113" t="n">
        <x:f>D13*'Scenarios'!$C$8</x:f>
        <x:v>0</x:v>
      </x:c>
      <x:c r="F12" s="113" t="n">
        <x:f>E13*'Scenarios'!$C$8</x:f>
        <x:v>0.0008925</x:v>
      </x:c>
      <x:c r="G12" s="113" t="n">
        <x:f>F13*'Scenarios'!$C$8</x:f>
        <x:v>0.0017582249999999998</x:v>
      </x:c>
      <x:c r="H12" s="113" t="n">
        <x:f>G13*'Scenarios'!$C$8</x:f>
        <x:v>0.00259797825</x:v>
      </x:c>
      <x:c r="I12" s="113" t="n">
        <x:f>H13*'Scenarios'!$C$8</x:f>
        <x:v>0.004252538902499999</x:v>
      </x:c>
      <x:c r="J12" s="113" t="n">
        <x:f>I13*'Scenarios'!$C$8</x:f>
        <x:v>0.0058574627354249995</x:v>
      </x:c>
      <x:c r="K12" s="113" t="n">
        <x:f>J13*'Scenarios'!$C$8</x:f>
        <x:v>0.007414238853362249</x:v>
      </x:c>
      <x:c r="L12" s="113" t="n">
        <x:f>K13*'Scenarios'!$C$8</x:f>
        <x:v>0.00892431168776138</x:v>
      </x:c>
      <x:c r="M12" s="113" t="n">
        <x:f>L13*'Scenarios'!$C$8</x:f>
        <x:v>0.01038908233712854</x:v>
      </x:c>
      <x:c r="N12" s="113" t="n">
        <x:f>M13*'Scenarios'!$C$8</x:f>
        <x:v>0.011809909867014683</x:v>
      </x:c>
      <x:c r="O12" s="113" t="n">
        <x:f>N13*'Scenarios'!$C$8</x:f>
        <x:v>0.01318811257100424</x:v>
      </x:c>
      <x:c r="P12" s="113" t="n">
        <x:f>O13*'Scenarios'!$C$8</x:f>
        <x:v>0.014524969193874115</x:v>
      </x:c>
      <x:c r="Q12" s="113" t="n">
        <x:f>P13*'Scenarios'!$C$8</x:f>
        <x:v>0.01582172011805789</x:v>
      </x:c>
      <x:c r="R12" s="113" t="n">
        <x:f>Q13*'Scenarios'!$C$8</x:f>
        <x:v>0.017972068514516153</x:v>
      </x:c>
      <x:c r="S12" s="113" t="n">
        <x:f>R13*'Scenarios'!$C$8</x:f>
        <x:v>0.02005790645908067</x:v>
      </x:c>
      <x:c r="T12" s="113" t="n">
        <x:f>S13*'Scenarios'!$C$8</x:f>
        <x:v>0.02208116926530825</x:v>
      </x:c>
      <x:c r="U12" s="113" t="n">
        <x:f>T13*'Scenarios'!$C$8</x:f>
        <x:v>0.024043734187349</x:v>
      </x:c>
      <x:c r="V12" s="113" t="n">
        <x:f>U13*'Scenarios'!$C$8</x:f>
        <x:v>0.025947422161728535</x:v>
      </x:c>
      <x:c r="W12" s="113" t="n">
        <x:f>V13*'Scenarios'!$C$8</x:f>
        <x:v>0.02779399949687668</x:v>
      </x:c>
      <x:c r="X12" s="113" t="n">
        <x:f>W13*'Scenarios'!$C$8</x:f>
        <x:v>0.030477679511970376</x:v>
      </x:c>
      <x:c r="Y12" s="113" t="n">
        <x:f>X13*'Scenarios'!$C$8</x:f>
        <x:v>0.03308084912661127</x:v>
      </x:c>
      <x:c r="Z12" s="113" t="n">
        <x:f>Y13*'Scenarios'!$C$8</x:f>
        <x:v>0.03560592365281293</x:v>
      </x:c>
      <x:c r="AA12" s="113" t="n">
        <x:f>Z13*'Scenarios'!$C$8</x:f>
        <x:v>0.038055245943228545</x:v>
      </x:c>
      <x:c r="AB12" s="113" t="n">
        <x:f>AA13*'Scenarios'!$C$8</x:f>
        <x:v>0.04043108856493169</x:v>
      </x:c>
      <x:c r="AC12" s="113" t="n">
        <x:f>AB13*'Scenarios'!$C$8</x:f>
        <x:v>0.04273565590798374</x:v>
      </x:c>
      <x:c r="AD12" s="113" t="n">
        <x:f>AC13*'Scenarios'!$C$8</x:f>
        <x:v>0.045391086230744226</x:v>
      </x:c>
      <x:c r="AE12" s="113" t="n">
        <x:f>AD13*'Scenarios'!$C$8</x:f>
        <x:v>0.0479668536438219</x:v>
      </x:c>
      <x:c r="AF12" s="113" t="n">
        <x:f>AE13*'Scenarios'!$C$8</x:f>
        <x:v>0.050465348034507244</x:v>
      </x:c>
      <x:c r="AG12" s="113" t="n">
        <x:f>AF13*'Scenarios'!$C$8</x:f>
        <x:v>0.052888887593472024</x:v>
      </x:c>
      <x:c r="AH12" s="113" t="n">
        <x:f>AG13*'Scenarios'!$C$8</x:f>
        <x:v>0.05523972096566786</x:v>
      </x:c>
      <x:c r="AI12" s="113" t="n">
        <x:f>AH13*'Scenarios'!$C$8</x:f>
        <x:v>0.05752002933669782</x:v>
      </x:c>
      <x:c r="AJ12" s="113" t="n">
        <x:f>AI13*'Scenarios'!$C$8</x:f>
        <x:v>0.05973192845659689</x:v>
      </x:c>
      <x:c r="AK12" s="113" t="n">
        <x:f>AJ13*'Scenarios'!$C$8</x:f>
        <x:v>0.06187747060289898</x:v>
      </x:c>
      <x:c r="AL12" s="113" t="n">
        <x:f>AK13*'Scenarios'!$C$8</x:f>
        <x:v>0.06395864648481202</x:v>
      </x:c>
    </x:row>
    <x:row r="13">
      <x:c r="A13" s="84" t="str">
        <x:v>Active managed accounts</x:v>
      </x:c>
      <x:c r="B13" s="84" t="str">
        <x:v>count</x:v>
      </x:c>
      <x:c r="C13" s="113" t="n">
        <x:f>C11</x:f>
        <x:v>0</x:v>
      </x:c>
      <x:c r="D13" s="113" t="n">
        <x:f>C13-D12+D11</x:f>
        <x:v>0</x:v>
      </x:c>
      <x:c r="E13" s="113" t="n">
        <x:f>D13-E12+E11</x:f>
        <x:v>0.02975</x:v>
      </x:c>
      <x:c r="F13" s="113" t="n">
        <x:f>E13-F12+F11</x:f>
        <x:v>0.05860749999999999</x:v>
      </x:c>
      <x:c r="G13" s="113" t="n">
        <x:f>F13-G12+G11</x:f>
        <x:v>0.08659927499999999</x:v>
      </x:c>
      <x:c r="H13" s="113" t="n">
        <x:f>G13-H12+H11</x:f>
        <x:v>0.14175129674999998</x:v>
      </x:c>
      <x:c r="I13" s="113" t="n">
        <x:f>H13-I12+I11</x:f>
        <x:v>0.19524875784749998</x:v>
      </x:c>
      <x:c r="J13" s="113" t="n">
        <x:f>I13-J12+J11</x:f>
        <x:v>0.24714129511207497</x:v>
      </x:c>
      <x:c r="K13" s="113" t="n">
        <x:f>J13-K12+K11</x:f>
        <x:v>0.2974770562587127</x:v>
      </x:c>
      <x:c r="L13" s="113" t="n">
        <x:f>K13-L12+L11</x:f>
        <x:v>0.34630274457095134</x:v>
      </x:c>
      <x:c r="M13" s="113" t="n">
        <x:f>L13-M12+M11</x:f>
        <x:v>0.39366366223382276</x:v>
      </x:c>
      <x:c r="N13" s="113" t="n">
        <x:f>M13-N12+N11</x:f>
        <x:v>0.43960375236680804</x:v>
      </x:c>
      <x:c r="O13" s="113" t="n">
        <x:f>N13-O12+O11</x:f>
        <x:v>0.48416563979580385</x:v>
      </x:c>
      <x:c r="P13" s="113" t="n">
        <x:f>O13-P12+P11</x:f>
        <x:v>0.5273906706019297</x:v>
      </x:c>
      <x:c r="Q13" s="113" t="n">
        <x:f>P13-Q12+Q11</x:f>
        <x:v>0.5990689504838718</x:v>
      </x:c>
      <x:c r="R13" s="113" t="n">
        <x:f>Q13-R12+R11</x:f>
        <x:v>0.6685968819693556</x:v>
      </x:c>
      <x:c r="S13" s="113" t="n">
        <x:f>R13-S12+S11</x:f>
        <x:v>0.736038975510275</x:v>
      </x:c>
      <x:c r="T13" s="113" t="n">
        <x:f>S13-T12+T11</x:f>
        <x:v>0.8014578062449668</x:v>
      </x:c>
      <x:c r="U13" s="113" t="n">
        <x:f>T13-U12+U11</x:f>
        <x:v>0.8649140720576178</x:v>
      </x:c>
      <x:c r="V13" s="113" t="n">
        <x:f>U13-V12+V11</x:f>
        <x:v>0.9264666498958893</x:v>
      </x:c>
      <x:c r="W13" s="113" t="n">
        <x:f>V13-W12+W11</x:f>
        <x:v>1.0159226503990126</x:v>
      </x:c>
      <x:c r="X13" s="113" t="n">
        <x:f>W13-X12+X11</x:f>
        <x:v>1.1026949708870424</x:v>
      </x:c>
      <x:c r="Y13" s="113" t="n">
        <x:f>X13-Y12+Y11</x:f>
        <x:v>1.1868641217604312</x:v>
      </x:c>
      <x:c r="Z13" s="113" t="n">
        <x:f>Y13-Z12+Z11</x:f>
        <x:v>1.2685081981076183</x:v>
      </x:c>
      <x:c r="AA13" s="113" t="n">
        <x:f>Z13-AA12+AA11</x:f>
        <x:v>1.3477029521643897</x:v>
      </x:c>
      <x:c r="AB13" s="113" t="n">
        <x:f>AA13-AB12+AB11</x:f>
        <x:v>1.424521863599458</x:v>
      </x:c>
      <x:c r="AC13" s="113" t="n">
        <x:f>AB13-AC12+AC11</x:f>
        <x:v>1.5130362076914743</x:v>
      </x:c>
      <x:c r="AD13" s="113" t="n">
        <x:f>AC13-AD12+AD11</x:f>
        <x:v>1.59889512146073</x:v>
      </x:c>
      <x:c r="AE13" s="113" t="n">
        <x:f>AD13-AE12+AE11</x:f>
        <x:v>1.6821782678169082</x:v>
      </x:c>
      <x:c r="AF13" s="113" t="n">
        <x:f>AE13-AF12+AF11</x:f>
        <x:v>1.7629629197824008</x:v>
      </x:c>
      <x:c r="AG13" s="113" t="n">
        <x:f>AF13-AG12+AG11</x:f>
        <x:v>1.8413240321889286</x:v>
      </x:c>
      <x:c r="AH13" s="113" t="n">
        <x:f>AG13-AH12+AH11</x:f>
        <x:v>1.9173343112232608</x:v>
      </x:c>
      <x:c r="AI13" s="113" t="n">
        <x:f>AH13-AI12+AI11</x:f>
        <x:v>1.9910642818865631</x:v>
      </x:c>
      <x:c r="AJ13" s="113" t="n">
        <x:f>AI13-AJ12+AJ11</x:f>
        <x:v>2.062582353429966</x:v>
      </x:c>
      <x:c r="AK13" s="113" t="n">
        <x:f>AJ13-AK12+AK11</x:f>
        <x:v>2.1319548828270674</x:v>
      </x:c>
      <x:c r="AL13" s="113" t="n">
        <x:f>AK13-AL12+AL11</x:f>
        <x:v>2.1992462363422556</x:v>
      </x:c>
    </x:row>
    <x:row r="14">
      <x:c r="A14" s="84" t="str">
        <x:v>Core active accounts</x:v>
      </x:c>
      <x:c r="B14" s="84" t="str">
        <x:v>count</x:v>
      </x:c>
      <x:c r="C14" s="113" t="n">
        <x:f>C13*'Scenarios'!$C$14</x:f>
        <x:v>0</x:v>
      </x:c>
      <x:c r="D14" s="113" t="n">
        <x:f>D13*'Scenarios'!$C$14</x:f>
        <x:v>0</x:v>
      </x:c>
      <x:c r="E14" s="113" t="n">
        <x:f>E13*'Scenarios'!$C$14</x:f>
        <x:v>0.020824999999999996</x:v>
      </x:c>
      <x:c r="F14" s="113" t="n">
        <x:f>F13*'Scenarios'!$C$14</x:f>
        <x:v>0.04102524999999999</x:v>
      </x:c>
      <x:c r="G14" s="113" t="n">
        <x:f>G13*'Scenarios'!$C$14</x:f>
        <x:v>0.06061949249999999</x:v>
      </x:c>
      <x:c r="H14" s="113" t="n">
        <x:f>H13*'Scenarios'!$C$14</x:f>
        <x:v>0.09922590772499998</x:v>
      </x:c>
      <x:c r="I14" s="113" t="n">
        <x:f>I13*'Scenarios'!$C$14</x:f>
        <x:v>0.13667413049324997</x:v>
      </x:c>
      <x:c r="J14" s="113" t="n">
        <x:f>J13*'Scenarios'!$C$14</x:f>
        <x:v>0.17299890657845246</x:v>
      </x:c>
      <x:c r="K14" s="113" t="n">
        <x:f>K13*'Scenarios'!$C$14</x:f>
        <x:v>0.20823393938109885</x:v>
      </x:c>
      <x:c r="L14" s="113" t="n">
        <x:f>L13*'Scenarios'!$C$14</x:f>
        <x:v>0.24241192119966593</x:v>
      </x:c>
      <x:c r="M14" s="113" t="n">
        <x:f>M13*'Scenarios'!$C$14</x:f>
        <x:v>0.2755645635636759</x:v>
      </x:c>
      <x:c r="N14" s="113" t="n">
        <x:f>N13*'Scenarios'!$C$14</x:f>
        <x:v>0.3077226266567656</x:v>
      </x:c>
      <x:c r="O14" s="113" t="n">
        <x:f>O13*'Scenarios'!$C$14</x:f>
        <x:v>0.3389159478570627</x:v>
      </x:c>
      <x:c r="P14" s="113" t="n">
        <x:f>P13*'Scenarios'!$C$14</x:f>
        <x:v>0.36917346942135076</x:v>
      </x:c>
      <x:c r="Q14" s="113" t="n">
        <x:f>Q13*'Scenarios'!$C$14</x:f>
        <x:v>0.4193482653387102</x:v>
      </x:c>
      <x:c r="R14" s="113" t="n">
        <x:f>R13*'Scenarios'!$C$14</x:f>
        <x:v>0.4680178173785489</x:v>
      </x:c>
      <x:c r="S14" s="113" t="n">
        <x:f>S13*'Scenarios'!$C$14</x:f>
        <x:v>0.5152272828571924</x:v>
      </x:c>
      <x:c r="T14" s="113" t="n">
        <x:f>T13*'Scenarios'!$C$14</x:f>
        <x:v>0.5610204643714767</x:v>
      </x:c>
      <x:c r="U14" s="113" t="n">
        <x:f>U13*'Scenarios'!$C$14</x:f>
        <x:v>0.6054398504403324</x:v>
      </x:c>
      <x:c r="V14" s="113" t="n">
        <x:f>V13*'Scenarios'!$C$14</x:f>
        <x:v>0.6485266549271225</x:v>
      </x:c>
      <x:c r="W14" s="113" t="n">
        <x:f>W13*'Scenarios'!$C$14</x:f>
        <x:v>0.7111458552793088</x:v>
      </x:c>
      <x:c r="X14" s="113" t="n">
        <x:f>X13*'Scenarios'!$C$14</x:f>
        <x:v>0.7718864796209296</x:v>
      </x:c>
      <x:c r="Y14" s="113" t="n">
        <x:f>Y13*'Scenarios'!$C$14</x:f>
        <x:v>0.8308048852323018</x:v>
      </x:c>
      <x:c r="Z14" s="113" t="n">
        <x:f>Z13*'Scenarios'!$C$14</x:f>
        <x:v>0.8879557386753327</x:v>
      </x:c>
      <x:c r="AA14" s="113" t="n">
        <x:f>AA13*'Scenarios'!$C$14</x:f>
        <x:v>0.9433920665150728</x:v>
      </x:c>
      <x:c r="AB14" s="113" t="n">
        <x:f>AB13*'Scenarios'!$C$14</x:f>
        <x:v>0.9971653045196206</x:v>
      </x:c>
      <x:c r="AC14" s="113" t="n">
        <x:f>AC13*'Scenarios'!$C$14</x:f>
        <x:v>1.059125345384032</x:v>
      </x:c>
      <x:c r="AD14" s="113" t="n">
        <x:f>AD13*'Scenarios'!$C$14</x:f>
        <x:v>1.119226585022511</x:v>
      </x:c>
      <x:c r="AE14" s="113" t="n">
        <x:f>AE13*'Scenarios'!$C$14</x:f>
        <x:v>1.1775247874718355</x:v>
      </x:c>
      <x:c r="AF14" s="113" t="n">
        <x:f>AF13*'Scenarios'!$C$14</x:f>
        <x:v>1.2340740438476805</x:v>
      </x:c>
      <x:c r="AG14" s="113" t="n">
        <x:f>AG13*'Scenarios'!$C$14</x:f>
        <x:v>1.2889268225322499</x:v>
      </x:c>
      <x:c r="AH14" s="113" t="n">
        <x:f>AH13*'Scenarios'!$C$14</x:f>
        <x:v>1.3421340178562824</x:v>
      </x:c>
      <x:c r="AI14" s="113" t="n">
        <x:f>AI13*'Scenarios'!$C$14</x:f>
        <x:v>1.3937449973205942</x:v>
      </x:c>
      <x:c r="AJ14" s="113" t="n">
        <x:f>AJ13*'Scenarios'!$C$14</x:f>
        <x:v>1.4438076474009762</x:v>
      </x:c>
      <x:c r="AK14" s="113" t="n">
        <x:f>AK13*'Scenarios'!$C$14</x:f>
        <x:v>1.4923684179789471</x:v>
      </x:c>
      <x:c r="AL14" s="113" t="n">
        <x:f>AL13*'Scenarios'!$C$14</x:f>
        <x:v>1.5394723654395788</x:v>
      </x:c>
    </x:row>
    <x:row r="15">
      <x:c r="A15" s="84" t="str">
        <x:v>Operate active accounts</x:v>
      </x:c>
      <x:c r="B15" s="84" t="str">
        <x:v>count</x:v>
      </x:c>
      <x:c r="C15" s="113" t="n">
        <x:f>C13*'Scenarios'!$C$15</x:f>
        <x:v>0</x:v>
      </x:c>
      <x:c r="D15" s="113" t="n">
        <x:f>D13*'Scenarios'!$C$15</x:f>
        <x:v>0</x:v>
      </x:c>
      <x:c r="E15" s="113" t="n">
        <x:f>E13*'Scenarios'!$C$15</x:f>
        <x:v>0.008924999999999999</x:v>
      </x:c>
      <x:c r="F15" s="113" t="n">
        <x:f>F13*'Scenarios'!$C$15</x:f>
        <x:v>0.017582249999999997</x:v>
      </x:c>
      <x:c r="G15" s="113" t="n">
        <x:f>G13*'Scenarios'!$C$15</x:f>
        <x:v>0.025979782499999996</x:v>
      </x:c>
      <x:c r="H15" s="113" t="n">
        <x:f>H13*'Scenarios'!$C$15</x:f>
        <x:v>0.04252538902499999</x:v>
      </x:c>
      <x:c r="I15" s="113" t="n">
        <x:f>I13*'Scenarios'!$C$15</x:f>
        <x:v>0.058574627354249995</x:v>
      </x:c>
      <x:c r="J15" s="113" t="n">
        <x:f>J13*'Scenarios'!$C$15</x:f>
        <x:v>0.07414238853362248</x:v>
      </x:c>
      <x:c r="K15" s="113" t="n">
        <x:f>K13*'Scenarios'!$C$15</x:f>
        <x:v>0.0892431168776138</x:v>
      </x:c>
      <x:c r="L15" s="113" t="n">
        <x:f>L13*'Scenarios'!$C$15</x:f>
        <x:v>0.1038908233712854</x:v>
      </x:c>
      <x:c r="M15" s="113" t="n">
        <x:f>M13*'Scenarios'!$C$15</x:f>
        <x:v>0.11809909867014683</x:v>
      </x:c>
      <x:c r="N15" s="113" t="n">
        <x:f>N13*'Scenarios'!$C$15</x:f>
        <x:v>0.1318811257100424</x:v>
      </x:c>
      <x:c r="O15" s="113" t="n">
        <x:f>O13*'Scenarios'!$C$15</x:f>
        <x:v>0.14524969193874115</x:v>
      </x:c>
      <x:c r="P15" s="113" t="n">
        <x:f>P13*'Scenarios'!$C$15</x:f>
        <x:v>0.1582172011805789</x:v>
      </x:c>
      <x:c r="Q15" s="113" t="n">
        <x:f>Q13*'Scenarios'!$C$15</x:f>
        <x:v>0.1797206851451615</x:v>
      </x:c>
      <x:c r="R15" s="113" t="n">
        <x:f>R13*'Scenarios'!$C$15</x:f>
        <x:v>0.20057906459080668</x:v>
      </x:c>
      <x:c r="S15" s="113" t="n">
        <x:f>S13*'Scenarios'!$C$15</x:f>
        <x:v>0.22081169265308248</x:v>
      </x:c>
      <x:c r="T15" s="113" t="n">
        <x:f>T13*'Scenarios'!$C$15</x:f>
        <x:v>0.24043734187349003</x:v>
      </x:c>
      <x:c r="U15" s="113" t="n">
        <x:f>U13*'Scenarios'!$C$15</x:f>
        <x:v>0.25947422161728534</x:v>
      </x:c>
      <x:c r="V15" s="113" t="n">
        <x:f>V13*'Scenarios'!$C$15</x:f>
        <x:v>0.2779399949687668</x:v>
      </x:c>
      <x:c r="W15" s="113" t="n">
        <x:f>W13*'Scenarios'!$C$15</x:f>
        <x:v>0.3047767951197038</x:v>
      </x:c>
      <x:c r="X15" s="113" t="n">
        <x:f>X13*'Scenarios'!$C$15</x:f>
        <x:v>0.3308084912661127</x:v>
      </x:c>
      <x:c r="Y15" s="113" t="n">
        <x:f>Y13*'Scenarios'!$C$15</x:f>
        <x:v>0.3560592365281294</x:v>
      </x:c>
      <x:c r="Z15" s="113" t="n">
        <x:f>Z13*'Scenarios'!$C$15</x:f>
        <x:v>0.3805524594322855</x:v>
      </x:c>
      <x:c r="AA15" s="113" t="n">
        <x:f>AA13*'Scenarios'!$C$15</x:f>
        <x:v>0.4043108856493169</x:v>
      </x:c>
      <x:c r="AB15" s="113" t="n">
        <x:f>AB13*'Scenarios'!$C$15</x:f>
        <x:v>0.42735655907983744</x:v>
      </x:c>
      <x:c r="AC15" s="113" t="n">
        <x:f>AC13*'Scenarios'!$C$15</x:f>
        <x:v>0.45391086230744226</x:v>
      </x:c>
      <x:c r="AD15" s="113" t="n">
        <x:f>AD13*'Scenarios'!$C$15</x:f>
        <x:v>0.479668536438219</x:v>
      </x:c>
      <x:c r="AE15" s="113" t="n">
        <x:f>AE13*'Scenarios'!$C$15</x:f>
        <x:v>0.5046534803450724</x:v>
      </x:c>
      <x:c r="AF15" s="113" t="n">
        <x:f>AF13*'Scenarios'!$C$15</x:f>
        <x:v>0.5288888759347202</x:v>
      </x:c>
      <x:c r="AG15" s="113" t="n">
        <x:f>AG13*'Scenarios'!$C$15</x:f>
        <x:v>0.5523972096566786</x:v>
      </x:c>
      <x:c r="AH15" s="113" t="n">
        <x:f>AH13*'Scenarios'!$C$15</x:f>
        <x:v>0.5752002933669782</x:v>
      </x:c>
      <x:c r="AI15" s="113" t="n">
        <x:f>AI13*'Scenarios'!$C$15</x:f>
        <x:v>0.5973192845659689</x:v>
      </x:c>
      <x:c r="AJ15" s="113" t="n">
        <x:f>AJ13*'Scenarios'!$C$15</x:f>
        <x:v>0.6187747060289898</x:v>
      </x:c>
      <x:c r="AK15" s="113" t="n">
        <x:f>AK13*'Scenarios'!$C$15</x:f>
        <x:v>0.6395864648481202</x:v>
      </x:c>
      <x:c r="AL15" s="113" t="n">
        <x:f>AL13*'Scenarios'!$C$15</x:f>
        <x:v>0.6597738709026767</x:v>
      </x:c>
    </x:row>
    <x:row r="16">
      <x:c r="A16" s="84" t="str">
        <x:v>Scale active accounts</x:v>
      </x:c>
      <x:c r="B16" s="84" t="str">
        <x:v>count</x:v>
      </x:c>
      <x:c r="C16" s="113" t="n">
        <x:f>C13*'Scenarios'!$C$16</x:f>
        <x:v>0</x:v>
      </x:c>
      <x:c r="D16" s="113" t="n">
        <x:f>D13*'Scenarios'!$C$16</x:f>
        <x:v>0</x:v>
      </x:c>
      <x:c r="E16" s="113" t="n">
        <x:f>E13*'Scenarios'!$C$16</x:f>
        <x:v>0</x:v>
      </x:c>
      <x:c r="F16" s="113" t="n">
        <x:f>F13*'Scenarios'!$C$16</x:f>
        <x:v>0</x:v>
      </x:c>
      <x:c r="G16" s="113" t="n">
        <x:f>G13*'Scenarios'!$C$16</x:f>
        <x:v>0</x:v>
      </x:c>
      <x:c r="H16" s="113" t="n">
        <x:f>H13*'Scenarios'!$C$16</x:f>
        <x:v>0</x:v>
      </x:c>
      <x:c r="I16" s="113" t="n">
        <x:f>I13*'Scenarios'!$C$16</x:f>
        <x:v>0</x:v>
      </x:c>
      <x:c r="J16" s="113" t="n">
        <x:f>J13*'Scenarios'!$C$16</x:f>
        <x:v>0</x:v>
      </x:c>
      <x:c r="K16" s="113" t="n">
        <x:f>K13*'Scenarios'!$C$16</x:f>
        <x:v>0</x:v>
      </x:c>
      <x:c r="L16" s="113" t="n">
        <x:f>L13*'Scenarios'!$C$16</x:f>
        <x:v>0</x:v>
      </x:c>
      <x:c r="M16" s="113" t="n">
        <x:f>M13*'Scenarios'!$C$16</x:f>
        <x:v>0</x:v>
      </x:c>
      <x:c r="N16" s="113" t="n">
        <x:f>N13*'Scenarios'!$C$16</x:f>
        <x:v>0</x:v>
      </x:c>
      <x:c r="O16" s="113" t="n">
        <x:f>O13*'Scenarios'!$C$16</x:f>
        <x:v>0</x:v>
      </x:c>
      <x:c r="P16" s="113" t="n">
        <x:f>P13*'Scenarios'!$C$16</x:f>
        <x:v>0</x:v>
      </x:c>
      <x:c r="Q16" s="113" t="n">
        <x:f>Q13*'Scenarios'!$C$16</x:f>
        <x:v>0</x:v>
      </x:c>
      <x:c r="R16" s="113" t="n">
        <x:f>R13*'Scenarios'!$C$16</x:f>
        <x:v>0</x:v>
      </x:c>
      <x:c r="S16" s="113" t="n">
        <x:f>S13*'Scenarios'!$C$16</x:f>
        <x:v>0</x:v>
      </x:c>
      <x:c r="T16" s="113" t="n">
        <x:f>T13*'Scenarios'!$C$16</x:f>
        <x:v>0</x:v>
      </x:c>
      <x:c r="U16" s="113" t="n">
        <x:f>U13*'Scenarios'!$C$16</x:f>
        <x:v>0</x:v>
      </x:c>
      <x:c r="V16" s="113" t="n">
        <x:f>V13*'Scenarios'!$C$16</x:f>
        <x:v>0</x:v>
      </x:c>
      <x:c r="W16" s="113" t="n">
        <x:f>W13*'Scenarios'!$C$16</x:f>
        <x:v>0</x:v>
      </x:c>
      <x:c r="X16" s="113" t="n">
        <x:f>X13*'Scenarios'!$C$16</x:f>
        <x:v>0</x:v>
      </x:c>
      <x:c r="Y16" s="113" t="n">
        <x:f>Y13*'Scenarios'!$C$16</x:f>
        <x:v>0</x:v>
      </x:c>
      <x:c r="Z16" s="113" t="n">
        <x:f>Z13*'Scenarios'!$C$16</x:f>
        <x:v>0</x:v>
      </x:c>
      <x:c r="AA16" s="113" t="n">
        <x:f>AA13*'Scenarios'!$C$16</x:f>
        <x:v>0</x:v>
      </x:c>
      <x:c r="AB16" s="113" t="n">
        <x:f>AB13*'Scenarios'!$C$16</x:f>
        <x:v>0</x:v>
      </x:c>
      <x:c r="AC16" s="113" t="n">
        <x:f>AC13*'Scenarios'!$C$16</x:f>
        <x:v>0</x:v>
      </x:c>
      <x:c r="AD16" s="113" t="n">
        <x:f>AD13*'Scenarios'!$C$16</x:f>
        <x:v>0</x:v>
      </x:c>
      <x:c r="AE16" s="113" t="n">
        <x:f>AE13*'Scenarios'!$C$16</x:f>
        <x:v>0</x:v>
      </x:c>
      <x:c r="AF16" s="113" t="n">
        <x:f>AF13*'Scenarios'!$C$16</x:f>
        <x:v>0</x:v>
      </x:c>
      <x:c r="AG16" s="113" t="n">
        <x:f>AG13*'Scenarios'!$C$16</x:f>
        <x:v>0</x:v>
      </x:c>
      <x:c r="AH16" s="113" t="n">
        <x:f>AH13*'Scenarios'!$C$16</x:f>
        <x:v>0</x:v>
      </x:c>
      <x:c r="AI16" s="113" t="n">
        <x:f>AI13*'Scenarios'!$C$16</x:f>
        <x:v>0</x:v>
      </x:c>
      <x:c r="AJ16" s="113" t="n">
        <x:f>AJ13*'Scenarios'!$C$16</x:f>
        <x:v>0</x:v>
      </x:c>
      <x:c r="AK16" s="113" t="n">
        <x:f>AK13*'Scenarios'!$C$16</x:f>
        <x:v>0</x:v>
      </x:c>
      <x:c r="AL16" s="113" t="n">
        <x:f>AL13*'Scenarios'!$C$16</x:f>
        <x:v>0</x:v>
      </x:c>
    </x:row>
    <x:row r="17">
      <x:c r="A17" s="84" t="str">
        <x:v>Expansion projects</x:v>
      </x:c>
      <x:c r="B17" s="84" t="str">
        <x:v>count</x:v>
      </x:c>
      <x:c r="C17" s="113" t="n">
        <x:f>C13*'Scenarios'!$C$19/12</x:f>
        <x:v>0</x:v>
      </x:c>
      <x:c r="D17" s="113" t="n">
        <x:f>D13*'Scenarios'!$C$19/12</x:f>
        <x:v>0</x:v>
      </x:c>
      <x:c r="E17" s="113" t="n">
        <x:f>E13*'Scenarios'!$C$19/12</x:f>
        <x:v>0.00012395833333333334</x:v>
      </x:c>
      <x:c r="F17" s="113" t="n">
        <x:f>F13*'Scenarios'!$C$19/12</x:f>
        <x:v>0.00024419791666666665</x:v>
      </x:c>
      <x:c r="G17" s="113" t="n">
        <x:f>G13*'Scenarios'!$C$19/12</x:f>
        <x:v>0.00036083031249999997</x:v>
      </x:c>
      <x:c r="H17" s="113" t="n">
        <x:f>H13*'Scenarios'!$C$19/12</x:f>
        <x:v>0.0005906304031249999</x:v>
      </x:c>
      <x:c r="I17" s="113" t="n">
        <x:f>I13*'Scenarios'!$C$19/12</x:f>
        <x:v>0.00081353649103125</x:v>
      </x:c>
      <x:c r="J17" s="113" t="n">
        <x:f>J13*'Scenarios'!$C$19/12</x:f>
        <x:v>0.0010297553963003125</x:v>
      </x:c>
      <x:c r="K17" s="113" t="n">
        <x:f>K13*'Scenarios'!$C$19/12</x:f>
        <x:v>0.0012394877344113029</x:v>
      </x:c>
      <x:c r="L17" s="113" t="n">
        <x:f>L13*'Scenarios'!$C$19/12</x:f>
        <x:v>0.001442928102378964</x:v>
      </x:c>
      <x:c r="M17" s="113" t="n">
        <x:f>M13*'Scenarios'!$C$19/12</x:f>
        <x:v>0.0016402652593075948</x:v>
      </x:c>
      <x:c r="N17" s="113" t="n">
        <x:f>N13*'Scenarios'!$C$19/12</x:f>
        <x:v>0.001831682301528367</x:v>
      </x:c>
      <x:c r="O17" s="113" t="n">
        <x:f>O13*'Scenarios'!$C$19/12</x:f>
        <x:v>0.002017356832482516</x:v>
      </x:c>
      <x:c r="P17" s="113" t="n">
        <x:f>P13*'Scenarios'!$C$19/12</x:f>
        <x:v>0.0021974611275080405</x:v>
      </x:c>
      <x:c r="Q17" s="113" t="n">
        <x:f>Q13*'Scenarios'!$C$19/12</x:f>
        <x:v>0.0024961206270161323</x:v>
      </x:c>
      <x:c r="R17" s="113" t="n">
        <x:f>R13*'Scenarios'!$C$19/12</x:f>
        <x:v>0.002785820341538982</x:v>
      </x:c>
      <x:c r="S17" s="113" t="n">
        <x:f>S13*'Scenarios'!$C$19/12</x:f>
        <x:v>0.003066829064626146</x:v>
      </x:c>
      <x:c r="T17" s="113" t="n">
        <x:f>T13*'Scenarios'!$C$19/12</x:f>
        <x:v>0.003339407526020695</x:v>
      </x:c>
      <x:c r="U17" s="113" t="n">
        <x:f>U13*'Scenarios'!$C$19/12</x:f>
        <x:v>0.0036038086335734077</x:v>
      </x:c>
      <x:c r="V17" s="113" t="n">
        <x:f>V13*'Scenarios'!$C$19/12</x:f>
        <x:v>0.0038602777078995394</x:v>
      </x:c>
      <x:c r="W17" s="113" t="n">
        <x:f>W13*'Scenarios'!$C$19/12</x:f>
        <x:v>0.00423301104332922</x:v>
      </x:c>
      <x:c r="X17" s="113" t="n">
        <x:f>X13*'Scenarios'!$C$19/12</x:f>
        <x:v>0.00459456237869601</x:v>
      </x:c>
      <x:c r="Y17" s="113" t="n">
        <x:f>Y13*'Scenarios'!$C$19/12</x:f>
        <x:v>0.004945267174001797</x:v>
      </x:c>
      <x:c r="Z17" s="113" t="n">
        <x:f>Z13*'Scenarios'!$C$19/12</x:f>
        <x:v>0.005285450825448409</x:v>
      </x:c>
      <x:c r="AA17" s="113" t="n">
        <x:f>AA13*'Scenarios'!$C$19/12</x:f>
        <x:v>0.005615428967351625</x:v>
      </x:c>
      <x:c r="AB17" s="113" t="n">
        <x:f>AB13*'Scenarios'!$C$19/12</x:f>
        <x:v>0.005935507764997742</x:v>
      </x:c>
      <x:c r="AC17" s="113" t="n">
        <x:f>AC13*'Scenarios'!$C$19/12</x:f>
        <x:v>0.00630431753204781</x:v>
      </x:c>
      <x:c r="AD17" s="113" t="n">
        <x:f>AD13*'Scenarios'!$C$19/12</x:f>
        <x:v>0.006662063006086376</x:v>
      </x:c>
      <x:c r="AE17" s="113" t="n">
        <x:f>AE13*'Scenarios'!$C$19/12</x:f>
        <x:v>0.007009076115903785</x:v>
      </x:c>
      <x:c r="AF17" s="113" t="n">
        <x:f>AF13*'Scenarios'!$C$19/12</x:f>
        <x:v>0.007345678832426671</x:v>
      </x:c>
      <x:c r="AG17" s="113" t="n">
        <x:f>AG13*'Scenarios'!$C$19/12</x:f>
        <x:v>0.00767218346745387</x:v>
      </x:c>
      <x:c r="AH17" s="113" t="n">
        <x:f>AH13*'Scenarios'!$C$19/12</x:f>
        <x:v>0.007988892963430255</x:v>
      </x:c>
      <x:c r="AI17" s="113" t="n">
        <x:f>AI13*'Scenarios'!$C$19/12</x:f>
        <x:v>0.008296101174527346</x:v>
      </x:c>
      <x:c r="AJ17" s="113" t="n">
        <x:f>AJ13*'Scenarios'!$C$19/12</x:f>
        <x:v>0.008594093139291525</x:v>
      </x:c>
      <x:c r="AK17" s="113" t="n">
        <x:f>AK13*'Scenarios'!$C$19/12</x:f>
        <x:v>0.00888314534511278</x:v>
      </x:c>
      <x:c r="AL17" s="113" t="n">
        <x:f>AL13*'Scenarios'!$C$19/12</x:f>
        <x:v>0.0091635259847594</x:v>
      </x:c>
    </x:row>
    <x:row r="18">
      <x:c r="A18" s="84" t="str">
        <x:v>Partner enablement projects</x:v>
      </x:c>
      <x:c r="B18" s="84" t="str">
        <x:v>count</x:v>
      </x:c>
      <x:c r="C18" s="113" t="n">
        <x:f>'Scenarios'!$C$21/12</x:f>
        <x:v>0</x:v>
      </x:c>
      <x:c r="D18" s="113" t="n">
        <x:f>'Scenarios'!$C$21/12</x:f>
        <x:v>0</x:v>
      </x:c>
      <x:c r="E18" s="113" t="n">
        <x:f>'Scenarios'!$C$21/12</x:f>
        <x:v>0</x:v>
      </x:c>
      <x:c r="F18" s="113" t="n">
        <x:f>'Scenarios'!$C$21/12</x:f>
        <x:v>0</x:v>
      </x:c>
      <x:c r="G18" s="113" t="n">
        <x:f>'Scenarios'!$C$21/12</x:f>
        <x:v>0</x:v>
      </x:c>
      <x:c r="H18" s="113" t="n">
        <x:f>'Scenarios'!$C$21/12</x:f>
        <x:v>0</x:v>
      </x:c>
      <x:c r="I18" s="113" t="n">
        <x:f>'Scenarios'!$C$21/12</x:f>
        <x:v>0</x:v>
      </x:c>
      <x:c r="J18" s="113" t="n">
        <x:f>'Scenarios'!$C$21/12</x:f>
        <x:v>0</x:v>
      </x:c>
      <x:c r="K18" s="113" t="n">
        <x:f>'Scenarios'!$C$21/12</x:f>
        <x:v>0</x:v>
      </x:c>
      <x:c r="L18" s="113" t="n">
        <x:f>'Scenarios'!$C$21/12</x:f>
        <x:v>0</x:v>
      </x:c>
      <x:c r="M18" s="113" t="n">
        <x:f>'Scenarios'!$C$21/12</x:f>
        <x:v>0</x:v>
      </x:c>
      <x:c r="N18" s="113" t="n">
        <x:f>'Scenarios'!$C$21/12</x:f>
        <x:v>0</x:v>
      </x:c>
      <x:c r="O18" s="113" t="n">
        <x:f>'Scenarios'!$C$22/12</x:f>
        <x:v>0</x:v>
      </x:c>
      <x:c r="P18" s="113" t="n">
        <x:f>'Scenarios'!$C$22/12</x:f>
        <x:v>0</x:v>
      </x:c>
      <x:c r="Q18" s="113" t="n">
        <x:f>'Scenarios'!$C$22/12</x:f>
        <x:v>0</x:v>
      </x:c>
      <x:c r="R18" s="113" t="n">
        <x:f>'Scenarios'!$C$22/12</x:f>
        <x:v>0</x:v>
      </x:c>
      <x:c r="S18" s="113" t="n">
        <x:f>'Scenarios'!$C$22/12</x:f>
        <x:v>0</x:v>
      </x:c>
      <x:c r="T18" s="113" t="n">
        <x:f>'Scenarios'!$C$22/12</x:f>
        <x:v>0</x:v>
      </x:c>
      <x:c r="U18" s="113" t="n">
        <x:f>'Scenarios'!$C$22/12</x:f>
        <x:v>0</x:v>
      </x:c>
      <x:c r="V18" s="113" t="n">
        <x:f>'Scenarios'!$C$22/12</x:f>
        <x:v>0</x:v>
      </x:c>
      <x:c r="W18" s="113" t="n">
        <x:f>'Scenarios'!$C$22/12</x:f>
        <x:v>0</x:v>
      </x:c>
      <x:c r="X18" s="113" t="n">
        <x:f>'Scenarios'!$C$22/12</x:f>
        <x:v>0</x:v>
      </x:c>
      <x:c r="Y18" s="113" t="n">
        <x:f>'Scenarios'!$C$22/12</x:f>
        <x:v>0</x:v>
      </x:c>
      <x:c r="Z18" s="113" t="n">
        <x:f>'Scenarios'!$C$22/12</x:f>
        <x:v>0</x:v>
      </x:c>
      <x:c r="AA18" s="113" t="n">
        <x:f>'Scenarios'!$C$23/12</x:f>
        <x:v>0</x:v>
      </x:c>
      <x:c r="AB18" s="113" t="n">
        <x:f>'Scenarios'!$C$23/12</x:f>
        <x:v>0</x:v>
      </x:c>
      <x:c r="AC18" s="113" t="n">
        <x:f>'Scenarios'!$C$23/12</x:f>
        <x:v>0</x:v>
      </x:c>
      <x:c r="AD18" s="113" t="n">
        <x:f>'Scenarios'!$C$23/12</x:f>
        <x:v>0</x:v>
      </x:c>
      <x:c r="AE18" s="113" t="n">
        <x:f>'Scenarios'!$C$23/12</x:f>
        <x:v>0</x:v>
      </x:c>
      <x:c r="AF18" s="113" t="n">
        <x:f>'Scenarios'!$C$23/12</x:f>
        <x:v>0</x:v>
      </x:c>
      <x:c r="AG18" s="113" t="n">
        <x:f>'Scenarios'!$C$23/12</x:f>
        <x:v>0</x:v>
      </x:c>
      <x:c r="AH18" s="113" t="n">
        <x:f>'Scenarios'!$C$23/12</x:f>
        <x:v>0</x:v>
      </x:c>
      <x:c r="AI18" s="113" t="n">
        <x:f>'Scenarios'!$C$23/12</x:f>
        <x:v>0</x:v>
      </x:c>
      <x:c r="AJ18" s="113" t="n">
        <x:f>'Scenarios'!$C$23/12</x:f>
        <x:v>0</x:v>
      </x:c>
      <x:c r="AK18" s="113" t="n">
        <x:f>'Scenarios'!$C$23/12</x:f>
        <x:v>0</x:v>
      </x:c>
      <x:c r="AL18" s="113" t="n">
        <x:f>'Scenarios'!$C$23/12</x:f>
        <x:v>0</x:v>
      </x:c>
    </x:row>
    <x:row r="19">
      <x:c r="A19" s="63" t="str">
        <x:v>REVENUE</x:v>
      </x:c>
      <x:c r="B19" s="63" t="str"/>
      <x:c r="C19" s="112"/>
      <x:c r="D19" s="112"/>
      <x:c r="E19" s="112"/>
      <x:c r="F19" s="112"/>
      <x:c r="G19" s="112"/>
      <x:c r="H19" s="112"/>
      <x:c r="I19" s="112"/>
      <x:c r="J19" s="112"/>
      <x:c r="K19" s="112"/>
      <x:c r="L19" s="112"/>
      <x:c r="M19" s="112"/>
      <x:c r="N19" s="112"/>
      <x:c r="O19" s="112"/>
      <x:c r="P19" s="112"/>
      <x:c r="Q19" s="112"/>
      <x:c r="R19" s="112"/>
      <x:c r="S19" s="112"/>
      <x:c r="T19" s="112"/>
      <x:c r="U19" s="112"/>
      <x:c r="V19" s="112"/>
      <x:c r="W19" s="112"/>
      <x:c r="X19" s="112"/>
      <x:c r="Y19" s="112"/>
      <x:c r="Z19" s="112"/>
      <x:c r="AA19" s="112"/>
      <x:c r="AB19" s="112"/>
      <x:c r="AC19" s="112"/>
      <x:c r="AD19" s="112"/>
      <x:c r="AE19" s="112"/>
      <x:c r="AF19" s="112"/>
      <x:c r="AG19" s="112"/>
      <x:c r="AH19" s="112"/>
      <x:c r="AI19" s="112"/>
      <x:c r="AJ19" s="112"/>
      <x:c r="AK19" s="112"/>
      <x:c r="AL19" s="112"/>
    </x:row>
    <x:row r="20">
      <x:c r="A20" s="84" t="str">
        <x:v>Review revenue</x:v>
      </x:c>
      <x:c r="B20" s="84" t="str">
        <x:v>$</x:v>
      </x:c>
      <x:c r="C20" s="114" t="n">
        <x:f>C9*'Scenarios'!$C$9*'Scenarios'!$C$5*(1-'Scenarios'!$C$6*'Scenarios'!$C$7)</x:f>
        <x:v>336.6000000000001</x:v>
      </x:c>
      <x:c r="D20" s="114" t="n">
        <x:f>D9*'Scenarios'!$C$9*'Scenarios'!$C$5*(1-'Scenarios'!$C$6*'Scenarios'!$C$7)</x:f>
        <x:v>336.6000000000001</x:v>
      </x:c>
      <x:c r="E20" s="114" t="n">
        <x:f>E9*'Scenarios'!$C$9*'Scenarios'!$C$5*(1-'Scenarios'!$C$6*'Scenarios'!$C$7)</x:f>
        <x:v>336.6000000000001</x:v>
      </x:c>
      <x:c r="F20" s="114" t="n">
        <x:f>F9*'Scenarios'!$C$9*'Scenarios'!$C$5*(1-'Scenarios'!$C$6*'Scenarios'!$C$7)</x:f>
        <x:v>653.4</x:v>
      </x:c>
      <x:c r="G20" s="114" t="n">
        <x:f>G9*'Scenarios'!$C$9*'Scenarios'!$C$5*(1-'Scenarios'!$C$6*'Scenarios'!$C$7)</x:f>
        <x:v>653.4</x:v>
      </x:c>
      <x:c r="H20" s="114" t="n">
        <x:f>H9*'Scenarios'!$C$9*'Scenarios'!$C$5*(1-'Scenarios'!$C$6*'Scenarios'!$C$7)</x:f>
        <x:v>653.4</x:v>
      </x:c>
      <x:c r="I20" s="114" t="n">
        <x:f>I9*'Scenarios'!$C$9*'Scenarios'!$C$5*(1-'Scenarios'!$C$6*'Scenarios'!$C$7)</x:f>
        <x:v>653.4</x:v>
      </x:c>
      <x:c r="J20" s="114" t="n">
        <x:f>J9*'Scenarios'!$C$9*'Scenarios'!$C$5*(1-'Scenarios'!$C$6*'Scenarios'!$C$7)</x:f>
        <x:v>653.4</x:v>
      </x:c>
      <x:c r="K20" s="114" t="n">
        <x:f>K9*'Scenarios'!$C$9*'Scenarios'!$C$5*(1-'Scenarios'!$C$6*'Scenarios'!$C$7)</x:f>
        <x:v>653.4</x:v>
      </x:c>
      <x:c r="L20" s="114" t="n">
        <x:f>L9*'Scenarios'!$C$9*'Scenarios'!$C$5*(1-'Scenarios'!$C$6*'Scenarios'!$C$7)</x:f>
        <x:v>653.4</x:v>
      </x:c>
      <x:c r="M20" s="114" t="n">
        <x:f>M9*'Scenarios'!$C$9*'Scenarios'!$C$5*(1-'Scenarios'!$C$6*'Scenarios'!$C$7)</x:f>
        <x:v>653.4</x:v>
      </x:c>
      <x:c r="N20" s="114" t="n">
        <x:f>N9*'Scenarios'!$C$9*'Scenarios'!$C$5*(1-'Scenarios'!$C$6*'Scenarios'!$C$7)</x:f>
        <x:v>653.4</x:v>
      </x:c>
      <x:c r="O20" s="114" t="n">
        <x:f>O9*'Scenarios'!$C$9*'Scenarios'!$C$5*(1-'Scenarios'!$C$6*'Scenarios'!$C$7)</x:f>
        <x:v>990</x:v>
      </x:c>
      <x:c r="P20" s="114" t="n">
        <x:f>P9*'Scenarios'!$C$9*'Scenarios'!$C$5*(1-'Scenarios'!$C$6*'Scenarios'!$C$7)</x:f>
        <x:v>990</x:v>
      </x:c>
      <x:c r="Q20" s="114" t="n">
        <x:f>Q9*'Scenarios'!$C$9*'Scenarios'!$C$5*(1-'Scenarios'!$C$6*'Scenarios'!$C$7)</x:f>
        <x:v>990</x:v>
      </x:c>
      <x:c r="R20" s="114" t="n">
        <x:f>R9*'Scenarios'!$C$9*'Scenarios'!$C$5*(1-'Scenarios'!$C$6*'Scenarios'!$C$7)</x:f>
        <x:v>990</x:v>
      </x:c>
      <x:c r="S20" s="114" t="n">
        <x:f>S9*'Scenarios'!$C$9*'Scenarios'!$C$5*(1-'Scenarios'!$C$6*'Scenarios'!$C$7)</x:f>
        <x:v>990</x:v>
      </x:c>
      <x:c r="T20" s="114" t="n">
        <x:f>T9*'Scenarios'!$C$9*'Scenarios'!$C$5*(1-'Scenarios'!$C$6*'Scenarios'!$C$7)</x:f>
        <x:v>990</x:v>
      </x:c>
      <x:c r="U20" s="114" t="n">
        <x:f>U9*'Scenarios'!$C$9*'Scenarios'!$C$5*(1-'Scenarios'!$C$6*'Scenarios'!$C$7)</x:f>
        <x:v>1326.6</x:v>
      </x:c>
      <x:c r="V20" s="114" t="n">
        <x:f>V9*'Scenarios'!$C$9*'Scenarios'!$C$5*(1-'Scenarios'!$C$6*'Scenarios'!$C$7)</x:f>
        <x:v>1326.6</x:v>
      </x:c>
      <x:c r="W20" s="114" t="n">
        <x:f>W9*'Scenarios'!$C$9*'Scenarios'!$C$5*(1-'Scenarios'!$C$6*'Scenarios'!$C$7)</x:f>
        <x:v>1326.6</x:v>
      </x:c>
      <x:c r="X20" s="114" t="n">
        <x:f>X9*'Scenarios'!$C$9*'Scenarios'!$C$5*(1-'Scenarios'!$C$6*'Scenarios'!$C$7)</x:f>
        <x:v>1326.6</x:v>
      </x:c>
      <x:c r="Y20" s="114" t="n">
        <x:f>Y9*'Scenarios'!$C$9*'Scenarios'!$C$5*(1-'Scenarios'!$C$6*'Scenarios'!$C$7)</x:f>
        <x:v>1326.6</x:v>
      </x:c>
      <x:c r="Z20" s="114" t="n">
        <x:f>Z9*'Scenarios'!$C$9*'Scenarios'!$C$5*(1-'Scenarios'!$C$6*'Scenarios'!$C$7)</x:f>
        <x:v>1326.6</x:v>
      </x:c>
      <x:c r="AA20" s="114" t="n">
        <x:f>AA9*'Scenarios'!$C$9*'Scenarios'!$C$5*(1-'Scenarios'!$C$6*'Scenarios'!$C$7)</x:f>
        <x:v>1485</x:v>
      </x:c>
      <x:c r="AB20" s="114" t="n">
        <x:f>AB9*'Scenarios'!$C$9*'Scenarios'!$C$5*(1-'Scenarios'!$C$6*'Scenarios'!$C$7)</x:f>
        <x:v>1485</x:v>
      </x:c>
      <x:c r="AC20" s="114" t="n">
        <x:f>AC9*'Scenarios'!$C$9*'Scenarios'!$C$5*(1-'Scenarios'!$C$6*'Scenarios'!$C$7)</x:f>
        <x:v>1485</x:v>
      </x:c>
      <x:c r="AD20" s="114" t="n">
        <x:f>AD9*'Scenarios'!$C$9*'Scenarios'!$C$5*(1-'Scenarios'!$C$6*'Scenarios'!$C$7)</x:f>
        <x:v>1485</x:v>
      </x:c>
      <x:c r="AE20" s="114" t="n">
        <x:f>AE9*'Scenarios'!$C$9*'Scenarios'!$C$5*(1-'Scenarios'!$C$6*'Scenarios'!$C$7)</x:f>
        <x:v>1485</x:v>
      </x:c>
      <x:c r="AF20" s="114" t="n">
        <x:f>AF9*'Scenarios'!$C$9*'Scenarios'!$C$5*(1-'Scenarios'!$C$6*'Scenarios'!$C$7)</x:f>
        <x:v>1485</x:v>
      </x:c>
      <x:c r="AG20" s="114" t="n">
        <x:f>AG9*'Scenarios'!$C$9*'Scenarios'!$C$5*(1-'Scenarios'!$C$6*'Scenarios'!$C$7)</x:f>
        <x:v>1485</x:v>
      </x:c>
      <x:c r="AH20" s="114" t="n">
        <x:f>AH9*'Scenarios'!$C$9*'Scenarios'!$C$5*(1-'Scenarios'!$C$6*'Scenarios'!$C$7)</x:f>
        <x:v>1485</x:v>
      </x:c>
      <x:c r="AI20" s="114" t="n">
        <x:f>AI9*'Scenarios'!$C$9*'Scenarios'!$C$5*(1-'Scenarios'!$C$6*'Scenarios'!$C$7)</x:f>
        <x:v>1485</x:v>
      </x:c>
      <x:c r="AJ20" s="114" t="n">
        <x:f>AJ9*'Scenarios'!$C$9*'Scenarios'!$C$5*(1-'Scenarios'!$C$6*'Scenarios'!$C$7)</x:f>
        <x:v>1485</x:v>
      </x:c>
      <x:c r="AK20" s="114" t="n">
        <x:f>AK9*'Scenarios'!$C$9*'Scenarios'!$C$5*(1-'Scenarios'!$C$6*'Scenarios'!$C$7)</x:f>
        <x:v>1485</x:v>
      </x:c>
      <x:c r="AL20" s="114" t="n">
        <x:f>AL9*'Scenarios'!$C$9*'Scenarios'!$C$5*(1-'Scenarios'!$C$6*'Scenarios'!$C$7)</x:f>
        <x:v>1485</x:v>
      </x:c>
    </x:row>
    <x:row r="21">
      <x:c r="A21" s="84" t="str">
        <x:v>Launch revenue</x:v>
      </x:c>
      <x:c r="B21" s="84" t="str">
        <x:v>$</x:v>
      </x:c>
      <x:c r="C21" s="114" t="n">
        <x:f>C10*'Scenarios'!$C$10*'Scenarios'!$C$5*(1-'Scenarios'!$C$6*'Scenarios'!$C$7)</x:f>
        <x:v>0</x:v>
      </x:c>
      <x:c r="D21" s="114" t="n">
        <x:f>D10*'Scenarios'!$C$10*'Scenarios'!$C$5*(1-'Scenarios'!$C$6*'Scenarios'!$C$7)</x:f>
        <x:v>400.55400000000003</x:v>
      </x:c>
      <x:c r="E21" s="114" t="n">
        <x:f>E10*'Scenarios'!$C$10*'Scenarios'!$C$5*(1-'Scenarios'!$C$6*'Scenarios'!$C$7)</x:f>
        <x:v>400.55400000000003</x:v>
      </x:c>
      <x:c r="F21" s="114" t="n">
        <x:f>F10*'Scenarios'!$C$10*'Scenarios'!$C$5*(1-'Scenarios'!$C$6*'Scenarios'!$C$7)</x:f>
        <x:v>400.55400000000003</x:v>
      </x:c>
      <x:c r="G21" s="114" t="n">
        <x:f>G10*'Scenarios'!$C$10*'Scenarios'!$C$5*(1-'Scenarios'!$C$6*'Scenarios'!$C$7)</x:f>
        <x:v>777.5459999999999</x:v>
      </x:c>
      <x:c r="H21" s="114" t="n">
        <x:f>H10*'Scenarios'!$C$10*'Scenarios'!$C$5*(1-'Scenarios'!$C$6*'Scenarios'!$C$7)</x:f>
        <x:v>777.5459999999999</x:v>
      </x:c>
      <x:c r="I21" s="114" t="n">
        <x:f>I10*'Scenarios'!$C$10*'Scenarios'!$C$5*(1-'Scenarios'!$C$6*'Scenarios'!$C$7)</x:f>
        <x:v>777.5459999999999</x:v>
      </x:c>
      <x:c r="J21" s="114" t="n">
        <x:f>J10*'Scenarios'!$C$10*'Scenarios'!$C$5*(1-'Scenarios'!$C$6*'Scenarios'!$C$7)</x:f>
        <x:v>777.5459999999999</x:v>
      </x:c>
      <x:c r="K21" s="114" t="n">
        <x:f>K10*'Scenarios'!$C$10*'Scenarios'!$C$5*(1-'Scenarios'!$C$6*'Scenarios'!$C$7)</x:f>
        <x:v>777.5459999999999</x:v>
      </x:c>
      <x:c r="L21" s="114" t="n">
        <x:f>L10*'Scenarios'!$C$10*'Scenarios'!$C$5*(1-'Scenarios'!$C$6*'Scenarios'!$C$7)</x:f>
        <x:v>777.5459999999999</x:v>
      </x:c>
      <x:c r="M21" s="114" t="n">
        <x:f>M10*'Scenarios'!$C$10*'Scenarios'!$C$5*(1-'Scenarios'!$C$6*'Scenarios'!$C$7)</x:f>
        <x:v>777.5459999999999</x:v>
      </x:c>
      <x:c r="N21" s="114" t="n">
        <x:f>N10*'Scenarios'!$C$10*'Scenarios'!$C$5*(1-'Scenarios'!$C$6*'Scenarios'!$C$7)</x:f>
        <x:v>777.5459999999999</x:v>
      </x:c>
      <x:c r="O21" s="114" t="n">
        <x:f>O10*'Scenarios'!$C$10*'Scenarios'!$C$5*(1-'Scenarios'!$C$6*'Scenarios'!$C$7)</x:f>
        <x:v>777.5459999999999</x:v>
      </x:c>
      <x:c r="P21" s="114" t="n">
        <x:f>P10*'Scenarios'!$C$10*'Scenarios'!$C$5*(1-'Scenarios'!$C$6*'Scenarios'!$C$7)</x:f>
        <x:v>1178.1</x:v>
      </x:c>
      <x:c r="Q21" s="114" t="n">
        <x:f>Q10*'Scenarios'!$C$10*'Scenarios'!$C$5*(1-'Scenarios'!$C$6*'Scenarios'!$C$7)</x:f>
        <x:v>1178.1</x:v>
      </x:c>
      <x:c r="R21" s="114" t="n">
        <x:f>R10*'Scenarios'!$C$10*'Scenarios'!$C$5*(1-'Scenarios'!$C$6*'Scenarios'!$C$7)</x:f>
        <x:v>1178.1</x:v>
      </x:c>
      <x:c r="S21" s="114" t="n">
        <x:f>S10*'Scenarios'!$C$10*'Scenarios'!$C$5*(1-'Scenarios'!$C$6*'Scenarios'!$C$7)</x:f>
        <x:v>1178.1</x:v>
      </x:c>
      <x:c r="T21" s="114" t="n">
        <x:f>T10*'Scenarios'!$C$10*'Scenarios'!$C$5*(1-'Scenarios'!$C$6*'Scenarios'!$C$7)</x:f>
        <x:v>1178.1</x:v>
      </x:c>
      <x:c r="U21" s="114" t="n">
        <x:f>U10*'Scenarios'!$C$10*'Scenarios'!$C$5*(1-'Scenarios'!$C$6*'Scenarios'!$C$7)</x:f>
        <x:v>1178.1</x:v>
      </x:c>
      <x:c r="V21" s="114" t="n">
        <x:f>V10*'Scenarios'!$C$10*'Scenarios'!$C$5*(1-'Scenarios'!$C$6*'Scenarios'!$C$7)</x:f>
        <x:v>1578.6539999999998</x:v>
      </x:c>
      <x:c r="W21" s="114" t="n">
        <x:f>W10*'Scenarios'!$C$10*'Scenarios'!$C$5*(1-'Scenarios'!$C$6*'Scenarios'!$C$7)</x:f>
        <x:v>1578.6539999999998</x:v>
      </x:c>
      <x:c r="X21" s="114" t="n">
        <x:f>X10*'Scenarios'!$C$10*'Scenarios'!$C$5*(1-'Scenarios'!$C$6*'Scenarios'!$C$7)</x:f>
        <x:v>1578.6539999999998</x:v>
      </x:c>
      <x:c r="Y21" s="114" t="n">
        <x:f>Y10*'Scenarios'!$C$10*'Scenarios'!$C$5*(1-'Scenarios'!$C$6*'Scenarios'!$C$7)</x:f>
        <x:v>1578.6539999999998</x:v>
      </x:c>
      <x:c r="Z21" s="114" t="n">
        <x:f>Z10*'Scenarios'!$C$10*'Scenarios'!$C$5*(1-'Scenarios'!$C$6*'Scenarios'!$C$7)</x:f>
        <x:v>1578.6539999999998</x:v>
      </x:c>
      <x:c r="AA21" s="114" t="n">
        <x:f>AA10*'Scenarios'!$C$10*'Scenarios'!$C$5*(1-'Scenarios'!$C$6*'Scenarios'!$C$7)</x:f>
        <x:v>1578.6539999999998</x:v>
      </x:c>
      <x:c r="AB21" s="114" t="n">
        <x:f>AB10*'Scenarios'!$C$10*'Scenarios'!$C$5*(1-'Scenarios'!$C$6*'Scenarios'!$C$7)</x:f>
        <x:v>1767.1499999999996</x:v>
      </x:c>
      <x:c r="AC21" s="114" t="n">
        <x:f>AC10*'Scenarios'!$C$10*'Scenarios'!$C$5*(1-'Scenarios'!$C$6*'Scenarios'!$C$7)</x:f>
        <x:v>1767.1499999999996</x:v>
      </x:c>
      <x:c r="AD21" s="114" t="n">
        <x:f>AD10*'Scenarios'!$C$10*'Scenarios'!$C$5*(1-'Scenarios'!$C$6*'Scenarios'!$C$7)</x:f>
        <x:v>1767.1499999999996</x:v>
      </x:c>
      <x:c r="AE21" s="114" t="n">
        <x:f>AE10*'Scenarios'!$C$10*'Scenarios'!$C$5*(1-'Scenarios'!$C$6*'Scenarios'!$C$7)</x:f>
        <x:v>1767.1499999999996</x:v>
      </x:c>
      <x:c r="AF21" s="114" t="n">
        <x:f>AF10*'Scenarios'!$C$10*'Scenarios'!$C$5*(1-'Scenarios'!$C$6*'Scenarios'!$C$7)</x:f>
        <x:v>1767.1499999999996</x:v>
      </x:c>
      <x:c r="AG21" s="114" t="n">
        <x:f>AG10*'Scenarios'!$C$10*'Scenarios'!$C$5*(1-'Scenarios'!$C$6*'Scenarios'!$C$7)</x:f>
        <x:v>1767.1499999999996</x:v>
      </x:c>
      <x:c r="AH21" s="114" t="n">
        <x:f>AH10*'Scenarios'!$C$10*'Scenarios'!$C$5*(1-'Scenarios'!$C$6*'Scenarios'!$C$7)</x:f>
        <x:v>1767.1499999999996</x:v>
      </x:c>
      <x:c r="AI21" s="114" t="n">
        <x:f>AI10*'Scenarios'!$C$10*'Scenarios'!$C$5*(1-'Scenarios'!$C$6*'Scenarios'!$C$7)</x:f>
        <x:v>1767.1499999999996</x:v>
      </x:c>
      <x:c r="AJ21" s="114" t="n">
        <x:f>AJ10*'Scenarios'!$C$10*'Scenarios'!$C$5*(1-'Scenarios'!$C$6*'Scenarios'!$C$7)</x:f>
        <x:v>1767.1499999999996</x:v>
      </x:c>
      <x:c r="AK21" s="114" t="n">
        <x:f>AK10*'Scenarios'!$C$10*'Scenarios'!$C$5*(1-'Scenarios'!$C$6*'Scenarios'!$C$7)</x:f>
        <x:v>1767.1499999999996</x:v>
      </x:c>
      <x:c r="AL21" s="114" t="n">
        <x:f>AL10*'Scenarios'!$C$10*'Scenarios'!$C$5*(1-'Scenarios'!$C$6*'Scenarios'!$C$7)</x:f>
        <x:v>1767.1499999999996</x:v>
      </x:c>
    </x:row>
    <x:row r="22">
      <x:c r="A22" s="84" t="str">
        <x:v>Core recurring revenue</x:v>
      </x:c>
      <x:c r="B22" s="84" t="str">
        <x:v>$</x:v>
      </x:c>
      <x:c r="C22" s="114" t="n">
        <x:f>C14*'Scenarios'!$C$11*'Scenarios'!$C$5*(1-'Scenarios'!$C$6*'Scenarios'!$C$7)</x:f>
        <x:v>0</x:v>
      </x:c>
      <x:c r="D22" s="114" t="n">
        <x:f>D14*'Scenarios'!$C$11*'Scenarios'!$C$5*(1-'Scenarios'!$C$6*'Scenarios'!$C$7)</x:f>
        <x:v>0</x:v>
      </x:c>
      <x:c r="E22" s="114" t="n">
        <x:f>E14*'Scenarios'!$C$11*'Scenarios'!$C$5*(1-'Scenarios'!$C$6*'Scenarios'!$C$7)</x:f>
        <x:v>37.11015</x:v>
      </x:c>
      <x:c r="F22" s="114" t="n">
        <x:f>F14*'Scenarios'!$C$11*'Scenarios'!$C$5*(1-'Scenarios'!$C$6*'Scenarios'!$C$7)</x:f>
        <x:v>73.1069955</x:v>
      </x:c>
      <x:c r="G22" s="114" t="n">
        <x:f>G14*'Scenarios'!$C$11*'Scenarios'!$C$5*(1-'Scenarios'!$C$6*'Scenarios'!$C$7)</x:f>
        <x:v>108.02393563499999</x:v>
      </x:c>
      <x:c r="H22" s="114" t="n">
        <x:f>H14*'Scenarios'!$C$11*'Scenarios'!$C$5*(1-'Scenarios'!$C$6*'Scenarios'!$C$7)</x:f>
        <x:v>176.82056756594997</x:v>
      </x:c>
      <x:c r="I22" s="114" t="n">
        <x:f>I14*'Scenarios'!$C$11*'Scenarios'!$C$5*(1-'Scenarios'!$C$6*'Scenarios'!$C$7)</x:f>
        <x:v>243.55330053897146</x:v>
      </x:c>
      <x:c r="J22" s="114" t="n">
        <x:f>J14*'Scenarios'!$C$11*'Scenarios'!$C$5*(1-'Scenarios'!$C$6*'Scenarios'!$C$7)</x:f>
        <x:v>308.28405152280226</x:v>
      </x:c>
      <x:c r="K22" s="114" t="n">
        <x:f>K14*'Scenarios'!$C$11*'Scenarios'!$C$5*(1-'Scenarios'!$C$6*'Scenarios'!$C$7)</x:f>
        <x:v>371.0728799771182</x:v>
      </x:c>
      <x:c r="L22" s="114" t="n">
        <x:f>L14*'Scenarios'!$C$11*'Scenarios'!$C$5*(1-'Scenarios'!$C$6*'Scenarios'!$C$7)</x:f>
        <x:v>431.97804357780467</x:v>
      </x:c>
      <x:c r="M22" s="114" t="n">
        <x:f>M14*'Scenarios'!$C$11*'Scenarios'!$C$5*(1-'Scenarios'!$C$6*'Scenarios'!$C$7)</x:f>
        <x:v>491.05605227047056</x:v>
      </x:c>
      <x:c r="N22" s="114" t="n">
        <x:f>N14*'Scenarios'!$C$11*'Scenarios'!$C$5*(1-'Scenarios'!$C$6*'Scenarios'!$C$7)</x:f>
        <x:v>548.3617207023563</x:v>
      </x:c>
      <x:c r="O22" s="114" t="n">
        <x:f>O14*'Scenarios'!$C$11*'Scenarios'!$C$5*(1-'Scenarios'!$C$6*'Scenarios'!$C$7)</x:f>
        <x:v>603.9482190812857</x:v>
      </x:c>
      <x:c r="P22" s="114" t="n">
        <x:f>P14*'Scenarios'!$C$11*'Scenarios'!$C$5*(1-'Scenarios'!$C$6*'Scenarios'!$C$7)</x:f>
        <x:v>657.867122508847</x:v>
      </x:c>
      <x:c r="Q22" s="114" t="n">
        <x:f>Q14*'Scenarios'!$C$11*'Scenarios'!$C$5*(1-'Scenarios'!$C$6*'Scenarios'!$C$7)</x:f>
        <x:v>747.2786088335816</x:v>
      </x:c>
      <x:c r="R22" s="114" t="n">
        <x:f>R14*'Scenarios'!$C$11*'Scenarios'!$C$5*(1-'Scenarios'!$C$6*'Scenarios'!$C$7)</x:f>
        <x:v>834.0077505685741</x:v>
      </x:c>
      <x:c r="S22" s="114" t="n">
        <x:f>S14*'Scenarios'!$C$11*'Scenarios'!$C$5*(1-'Scenarios'!$C$6*'Scenarios'!$C$7)</x:f>
        <x:v>918.135018051517</x:v>
      </x:c>
      <x:c r="T22" s="114" t="n">
        <x:f>T14*'Scenarios'!$C$11*'Scenarios'!$C$5*(1-'Scenarios'!$C$6*'Scenarios'!$C$7)</x:f>
        <x:v>999.7384675099714</x:v>
      </x:c>
      <x:c r="U22" s="114" t="n">
        <x:f>U14*'Scenarios'!$C$11*'Scenarios'!$C$5*(1-'Scenarios'!$C$6*'Scenarios'!$C$7)</x:f>
        <x:v>1078.8938134846724</x:v>
      </x:c>
      <x:c r="V22" s="114" t="n">
        <x:f>V14*'Scenarios'!$C$11*'Scenarios'!$C$5*(1-'Scenarios'!$C$6*'Scenarios'!$C$7)</x:f>
        <x:v>1155.6744990801324</x:v>
      </x:c>
      <x:c r="W22" s="114" t="n">
        <x:f>W14*'Scenarios'!$C$11*'Scenarios'!$C$5*(1-'Scenarios'!$C$6*'Scenarios'!$C$7)</x:f>
        <x:v>1267.2619141077282</x:v>
      </x:c>
      <x:c r="X22" s="114" t="n">
        <x:f>X14*'Scenarios'!$C$11*'Scenarios'!$C$5*(1-'Scenarios'!$C$6*'Scenarios'!$C$7)</x:f>
        <x:v>1375.5017066844966</x:v>
      </x:c>
      <x:c r="Y22" s="114" t="n">
        <x:f>Y14*'Scenarios'!$C$11*'Scenarios'!$C$5*(1-'Scenarios'!$C$6*'Scenarios'!$C$7)</x:f>
        <x:v>1480.4943054839619</x:v>
      </x:c>
      <x:c r="Z22" s="114" t="n">
        <x:f>Z14*'Scenarios'!$C$11*'Scenarios'!$C$5*(1-'Scenarios'!$C$6*'Scenarios'!$C$7)</x:f>
        <x:v>1582.3371263194429</x:v>
      </x:c>
      <x:c r="AA22" s="114" t="n">
        <x:f>AA14*'Scenarios'!$C$11*'Scenarios'!$C$5*(1-'Scenarios'!$C$6*'Scenarios'!$C$7)</x:f>
        <x:v>1681.1246625298597</x:v>
      </x:c>
      <x:c r="AB22" s="114" t="n">
        <x:f>AB14*'Scenarios'!$C$11*'Scenarios'!$C$5*(1-'Scenarios'!$C$6*'Scenarios'!$C$7)</x:f>
        <x:v>1776.9485726539638</x:v>
      </x:c>
      <x:c r="AC22" s="114" t="n">
        <x:f>AC14*'Scenarios'!$C$11*'Scenarios'!$C$5*(1-'Scenarios'!$C$6*'Scenarios'!$C$7)</x:f>
        <x:v>1887.3613654743447</x:v>
      </x:c>
      <x:c r="AD22" s="114" t="n">
        <x:f>AD14*'Scenarios'!$C$11*'Scenarios'!$C$5*(1-'Scenarios'!$C$6*'Scenarios'!$C$7)</x:f>
        <x:v>1994.4617745101148</x:v>
      </x:c>
      <x:c r="AE22" s="114" t="n">
        <x:f>AE14*'Scenarios'!$C$11*'Scenarios'!$C$5*(1-'Scenarios'!$C$6*'Scenarios'!$C$7)</x:f>
        <x:v>2098.349171274811</x:v>
      </x:c>
      <x:c r="AF22" s="114" t="n">
        <x:f>AF14*'Scenarios'!$C$11*'Scenarios'!$C$5*(1-'Scenarios'!$C$6*'Scenarios'!$C$7)</x:f>
        <x:v>2199.119946136567</x:v>
      </x:c>
      <x:c r="AG22" s="114" t="n">
        <x:f>AG14*'Scenarios'!$C$11*'Scenarios'!$C$5*(1-'Scenarios'!$C$6*'Scenarios'!$C$7)</x:f>
        <x:v>2296.867597752469</x:v>
      </x:c>
      <x:c r="AH22" s="114" t="n">
        <x:f>AH14*'Scenarios'!$C$11*'Scenarios'!$C$5*(1-'Scenarios'!$C$6*'Scenarios'!$C$7)</x:f>
        <x:v>2391.682819819895</x:v>
      </x:c>
      <x:c r="AI22" s="114" t="n">
        <x:f>AI14*'Scenarios'!$C$11*'Scenarios'!$C$5*(1-'Scenarios'!$C$6*'Scenarios'!$C$7)</x:f>
        <x:v>2483.653585225299</x:v>
      </x:c>
      <x:c r="AJ22" s="114" t="n">
        <x:f>AJ14*'Scenarios'!$C$11*'Scenarios'!$C$5*(1-'Scenarios'!$C$6*'Scenarios'!$C$7)</x:f>
        <x:v>2572.86522766854</x:v>
      </x:c>
      <x:c r="AK22" s="114" t="n">
        <x:f>AK14*'Scenarios'!$C$11*'Scenarios'!$C$5*(1-'Scenarios'!$C$6*'Scenarios'!$C$7)</x:f>
        <x:v>2659.4005208384838</x:v>
      </x:c>
      <x:c r="AL22" s="114" t="n">
        <x:f>AL14*'Scenarios'!$C$11*'Scenarios'!$C$5*(1-'Scenarios'!$C$6*'Scenarios'!$C$7)</x:f>
        <x:v>2743.3397552133297</x:v>
      </x:c>
    </x:row>
    <x:row r="23">
      <x:c r="A23" s="84" t="str">
        <x:v>Operate recurring revenue</x:v>
      </x:c>
      <x:c r="B23" s="84" t="str">
        <x:v>$</x:v>
      </x:c>
      <x:c r="C23" s="114" t="n">
        <x:f>C15*'Scenarios'!$C$12*'Scenarios'!$C$5*(1-'Scenarios'!$C$6*'Scenarios'!$C$7)</x:f>
        <x:v>0</x:v>
      </x:c>
      <x:c r="D23" s="114" t="n">
        <x:f>D15*'Scenarios'!$C$12*'Scenarios'!$C$5*(1-'Scenarios'!$C$6*'Scenarios'!$C$7)</x:f>
        <x:v>0</x:v>
      </x:c>
      <x:c r="E23" s="114" t="n">
        <x:f>E15*'Scenarios'!$C$12*'Scenarios'!$C$5*(1-'Scenarios'!$C$6*'Scenarios'!$C$7)</x:f>
        <x:v>28.274399999999996</x:v>
      </x:c>
      <x:c r="F23" s="114" t="n">
        <x:f>F15*'Scenarios'!$C$12*'Scenarios'!$C$5*(1-'Scenarios'!$C$6*'Scenarios'!$C$7)</x:f>
        <x:v>55.700568</x:v>
      </x:c>
      <x:c r="G23" s="114" t="n">
        <x:f>G15*'Scenarios'!$C$12*'Scenarios'!$C$5*(1-'Scenarios'!$C$6*'Scenarios'!$C$7)</x:f>
        <x:v>82.30395095999998</x:v>
      </x:c>
      <x:c r="H23" s="114" t="n">
        <x:f>H15*'Scenarios'!$C$12*'Scenarios'!$C$5*(1-'Scenarios'!$C$6*'Scenarios'!$C$7)</x:f>
        <x:v>134.72043243119995</x:v>
      </x:c>
      <x:c r="I23" s="114" t="n">
        <x:f>I15*'Scenarios'!$C$12*'Scenarios'!$C$5*(1-'Scenarios'!$C$6*'Scenarios'!$C$7)</x:f>
        <x:v>185.564419458264</x:v>
      </x:c>
      <x:c r="J23" s="114" t="n">
        <x:f>J15*'Scenarios'!$C$12*'Scenarios'!$C$5*(1-'Scenarios'!$C$6*'Scenarios'!$C$7)</x:f>
        <x:v>234.883086874516</x:v>
      </x:c>
      <x:c r="K23" s="114" t="n">
        <x:f>K15*'Scenarios'!$C$12*'Scenarios'!$C$5*(1-'Scenarios'!$C$6*'Scenarios'!$C$7)</x:f>
        <x:v>282.72219426828053</x:v>
      </x:c>
      <x:c r="L23" s="114" t="n">
        <x:f>L15*'Scenarios'!$C$12*'Scenarios'!$C$5*(1-'Scenarios'!$C$6*'Scenarios'!$C$7)</x:f>
        <x:v>329.1261284402321</x:v>
      </x:c>
      <x:c r="M23" s="114" t="n">
        <x:f>M15*'Scenarios'!$C$12*'Scenarios'!$C$5*(1-'Scenarios'!$C$6*'Scenarios'!$C$7)</x:f>
        <x:v>374.1379445870252</x:v>
      </x:c>
      <x:c r="N23" s="114" t="n">
        <x:f>N15*'Scenarios'!$C$12*'Scenarios'!$C$5*(1-'Scenarios'!$C$6*'Scenarios'!$C$7)</x:f>
        <x:v>417.7994062494143</x:v>
      </x:c>
      <x:c r="O23" s="114" t="n">
        <x:f>O15*'Scenarios'!$C$12*'Scenarios'!$C$5*(1-'Scenarios'!$C$6*'Scenarios'!$C$7)</x:f>
        <x:v>460.15102406193205</x:v>
      </x:c>
      <x:c r="P23" s="114" t="n">
        <x:f>P15*'Scenarios'!$C$12*'Scenarios'!$C$5*(1-'Scenarios'!$C$6*'Scenarios'!$C$7)</x:f>
        <x:v>501.23209334007385</x:v>
      </x:c>
      <x:c r="Q23" s="114" t="n">
        <x:f>Q15*'Scenarios'!$C$12*'Scenarios'!$C$5*(1-'Scenarios'!$C$6*'Scenarios'!$C$7)</x:f>
        <x:v>569.3551305398718</x:v>
      </x:c>
      <x:c r="R23" s="114" t="n">
        <x:f>R15*'Scenarios'!$C$12*'Scenarios'!$C$5*(1-'Scenarios'!$C$6*'Scenarios'!$C$7)</x:f>
        <x:v>635.4344766236757</x:v>
      </x:c>
      <x:c r="S23" s="114" t="n">
        <x:f>S15*'Scenarios'!$C$12*'Scenarios'!$C$5*(1-'Scenarios'!$C$6*'Scenarios'!$C$7)</x:f>
        <x:v>699.5314423249654</x:v>
      </x:c>
      <x:c r="T23" s="114" t="n">
        <x:f>T15*'Scenarios'!$C$12*'Scenarios'!$C$5*(1-'Scenarios'!$C$6*'Scenarios'!$C$7)</x:f>
        <x:v>761.7054990552164</x:v>
      </x:c>
      <x:c r="U23" s="114" t="n">
        <x:f>U15*'Scenarios'!$C$12*'Scenarios'!$C$5*(1-'Scenarios'!$C$6*'Scenarios'!$C$7)</x:f>
        <x:v>822.0143340835601</x:v>
      </x:c>
      <x:c r="V23" s="114" t="n">
        <x:f>V15*'Scenarios'!$C$12*'Scenarios'!$C$5*(1-'Scenarios'!$C$6*'Scenarios'!$C$7)</x:f>
        <x:v>880.5139040610534</x:v>
      </x:c>
      <x:c r="W23" s="114" t="n">
        <x:f>W15*'Scenarios'!$C$12*'Scenarios'!$C$5*(1-'Scenarios'!$C$6*'Scenarios'!$C$7)</x:f>
        <x:v>965.5328869392216</x:v>
      </x:c>
      <x:c r="X23" s="114" t="n">
        <x:f>X15*'Scenarios'!$C$12*'Scenarios'!$C$5*(1-'Scenarios'!$C$6*'Scenarios'!$C$7)</x:f>
        <x:v>1048.0013003310453</x:v>
      </x:c>
      <x:c r="Y23" s="114" t="n">
        <x:f>Y15*'Scenarios'!$C$12*'Scenarios'!$C$5*(1-'Scenarios'!$C$6*'Scenarios'!$C$7)</x:f>
        <x:v>1127.9956613211139</x:v>
      </x:c>
      <x:c r="Z23" s="114" t="n">
        <x:f>Z15*'Scenarios'!$C$12*'Scenarios'!$C$5*(1-'Scenarios'!$C$6*'Scenarios'!$C$7)</x:f>
        <x:v>1205.5901914814804</x:v>
      </x:c>
      <x:c r="AA23" s="114" t="n">
        <x:f>AA15*'Scenarios'!$C$12*'Scenarios'!$C$5*(1-'Scenarios'!$C$6*'Scenarios'!$C$7)</x:f>
        <x:v>1280.856885737036</x:v>
      </x:c>
      <x:c r="AB23" s="114" t="n">
        <x:f>AB15*'Scenarios'!$C$12*'Scenarios'!$C$5*(1-'Scenarios'!$C$6*'Scenarios'!$C$7)</x:f>
        <x:v>1353.865579164925</x:v>
      </x:c>
      <x:c r="AC23" s="114" t="n">
        <x:f>AC15*'Scenarios'!$C$12*'Scenarios'!$C$5*(1-'Scenarios'!$C$6*'Scenarios'!$C$7)</x:f>
        <x:v>1437.989611789977</x:v>
      </x:c>
      <x:c r="AD23" s="114" t="n">
        <x:f>AD15*'Scenarios'!$C$12*'Scenarios'!$C$5*(1-'Scenarios'!$C$6*'Scenarios'!$C$7)</x:f>
        <x:v>1519.589923436278</x:v>
      </x:c>
      <x:c r="AE23" s="114" t="n">
        <x:f>AE15*'Scenarios'!$C$12*'Scenarios'!$C$5*(1-'Scenarios'!$C$6*'Scenarios'!$C$7)</x:f>
        <x:v>1598.7422257331893</x:v>
      </x:c>
      <x:c r="AF23" s="114" t="n">
        <x:f>AF15*'Scenarios'!$C$12*'Scenarios'!$C$5*(1-'Scenarios'!$C$6*'Scenarios'!$C$7)</x:f>
        <x:v>1675.5199589611937</x:v>
      </x:c>
      <x:c r="AG23" s="114" t="n">
        <x:f>AG15*'Scenarios'!$C$12*'Scenarios'!$C$5*(1-'Scenarios'!$C$6*'Scenarios'!$C$7)</x:f>
        <x:v>1749.9943601923578</x:v>
      </x:c>
      <x:c r="AH23" s="114" t="n">
        <x:f>AH15*'Scenarios'!$C$12*'Scenarios'!$C$5*(1-'Scenarios'!$C$6*'Scenarios'!$C$7)</x:f>
        <x:v>1822.2345293865867</x:v>
      </x:c>
      <x:c r="AI23" s="114" t="n">
        <x:f>AI15*'Scenarios'!$C$12*'Scenarios'!$C$5*(1-'Scenarios'!$C$6*'Scenarios'!$C$7)</x:f>
        <x:v>1892.3074935049897</x:v>
      </x:c>
      <x:c r="AJ23" s="114" t="n">
        <x:f>AJ15*'Scenarios'!$C$12*'Scenarios'!$C$5*(1-'Scenarios'!$C$6*'Scenarios'!$C$7)</x:f>
        <x:v>1960.2782686998396</x:v>
      </x:c>
      <x:c r="AK23" s="114" t="n">
        <x:f>AK15*'Scenarios'!$C$12*'Scenarios'!$C$5*(1-'Scenarios'!$C$6*'Scenarios'!$C$7)</x:f>
        <x:v>2026.2099206388448</x:v>
      </x:c>
      <x:c r="AL23" s="114" t="n">
        <x:f>AL15*'Scenarios'!$C$12*'Scenarios'!$C$5*(1-'Scenarios'!$C$6*'Scenarios'!$C$7)</x:f>
        <x:v>2090.16362301968</x:v>
      </x:c>
    </x:row>
    <x:row r="24">
      <x:c r="A24" s="84" t="str">
        <x:v>Scale recurring revenue</x:v>
      </x:c>
      <x:c r="B24" s="84" t="str">
        <x:v>$</x:v>
      </x:c>
      <x:c r="C24" s="114" t="n">
        <x:f>C16*'Scenarios'!$C$13*'Scenarios'!$C$5*(1-'Scenarios'!$C$6*'Scenarios'!$C$7)</x:f>
        <x:v>0</x:v>
      </x:c>
      <x:c r="D24" s="114" t="n">
        <x:f>D16*'Scenarios'!$C$13*'Scenarios'!$C$5*(1-'Scenarios'!$C$6*'Scenarios'!$C$7)</x:f>
        <x:v>0</x:v>
      </x:c>
      <x:c r="E24" s="114" t="n">
        <x:f>E16*'Scenarios'!$C$13*'Scenarios'!$C$5*(1-'Scenarios'!$C$6*'Scenarios'!$C$7)</x:f>
        <x:v>0</x:v>
      </x:c>
      <x:c r="F24" s="114" t="n">
        <x:f>F16*'Scenarios'!$C$13*'Scenarios'!$C$5*(1-'Scenarios'!$C$6*'Scenarios'!$C$7)</x:f>
        <x:v>0</x:v>
      </x:c>
      <x:c r="G24" s="114" t="n">
        <x:f>G16*'Scenarios'!$C$13*'Scenarios'!$C$5*(1-'Scenarios'!$C$6*'Scenarios'!$C$7)</x:f>
        <x:v>0</x:v>
      </x:c>
      <x:c r="H24" s="114" t="n">
        <x:f>H16*'Scenarios'!$C$13*'Scenarios'!$C$5*(1-'Scenarios'!$C$6*'Scenarios'!$C$7)</x:f>
        <x:v>0</x:v>
      </x:c>
      <x:c r="I24" s="114" t="n">
        <x:f>I16*'Scenarios'!$C$13*'Scenarios'!$C$5*(1-'Scenarios'!$C$6*'Scenarios'!$C$7)</x:f>
        <x:v>0</x:v>
      </x:c>
      <x:c r="J24" s="114" t="n">
        <x:f>J16*'Scenarios'!$C$13*'Scenarios'!$C$5*(1-'Scenarios'!$C$6*'Scenarios'!$C$7)</x:f>
        <x:v>0</x:v>
      </x:c>
      <x:c r="K24" s="114" t="n">
        <x:f>K16*'Scenarios'!$C$13*'Scenarios'!$C$5*(1-'Scenarios'!$C$6*'Scenarios'!$C$7)</x:f>
        <x:v>0</x:v>
      </x:c>
      <x:c r="L24" s="114" t="n">
        <x:f>L16*'Scenarios'!$C$13*'Scenarios'!$C$5*(1-'Scenarios'!$C$6*'Scenarios'!$C$7)</x:f>
        <x:v>0</x:v>
      </x:c>
      <x:c r="M24" s="114" t="n">
        <x:f>M16*'Scenarios'!$C$13*'Scenarios'!$C$5*(1-'Scenarios'!$C$6*'Scenarios'!$C$7)</x:f>
        <x:v>0</x:v>
      </x:c>
      <x:c r="N24" s="114" t="n">
        <x:f>N16*'Scenarios'!$C$13*'Scenarios'!$C$5*(1-'Scenarios'!$C$6*'Scenarios'!$C$7)</x:f>
        <x:v>0</x:v>
      </x:c>
      <x:c r="O24" s="114" t="n">
        <x:f>O16*'Scenarios'!$C$13*'Scenarios'!$C$5*(1-'Scenarios'!$C$6*'Scenarios'!$C$7)</x:f>
        <x:v>0</x:v>
      </x:c>
      <x:c r="P24" s="114" t="n">
        <x:f>P16*'Scenarios'!$C$13*'Scenarios'!$C$5*(1-'Scenarios'!$C$6*'Scenarios'!$C$7)</x:f>
        <x:v>0</x:v>
      </x:c>
      <x:c r="Q24" s="114" t="n">
        <x:f>Q16*'Scenarios'!$C$13*'Scenarios'!$C$5*(1-'Scenarios'!$C$6*'Scenarios'!$C$7)</x:f>
        <x:v>0</x:v>
      </x:c>
      <x:c r="R24" s="114" t="n">
        <x:f>R16*'Scenarios'!$C$13*'Scenarios'!$C$5*(1-'Scenarios'!$C$6*'Scenarios'!$C$7)</x:f>
        <x:v>0</x:v>
      </x:c>
      <x:c r="S24" s="114" t="n">
        <x:f>S16*'Scenarios'!$C$13*'Scenarios'!$C$5*(1-'Scenarios'!$C$6*'Scenarios'!$C$7)</x:f>
        <x:v>0</x:v>
      </x:c>
      <x:c r="T24" s="114" t="n">
        <x:f>T16*'Scenarios'!$C$13*'Scenarios'!$C$5*(1-'Scenarios'!$C$6*'Scenarios'!$C$7)</x:f>
        <x:v>0</x:v>
      </x:c>
      <x:c r="U24" s="114" t="n">
        <x:f>U16*'Scenarios'!$C$13*'Scenarios'!$C$5*(1-'Scenarios'!$C$6*'Scenarios'!$C$7)</x:f>
        <x:v>0</x:v>
      </x:c>
      <x:c r="V24" s="114" t="n">
        <x:f>V16*'Scenarios'!$C$13*'Scenarios'!$C$5*(1-'Scenarios'!$C$6*'Scenarios'!$C$7)</x:f>
        <x:v>0</x:v>
      </x:c>
      <x:c r="W24" s="114" t="n">
        <x:f>W16*'Scenarios'!$C$13*'Scenarios'!$C$5*(1-'Scenarios'!$C$6*'Scenarios'!$C$7)</x:f>
        <x:v>0</x:v>
      </x:c>
      <x:c r="X24" s="114" t="n">
        <x:f>X16*'Scenarios'!$C$13*'Scenarios'!$C$5*(1-'Scenarios'!$C$6*'Scenarios'!$C$7)</x:f>
        <x:v>0</x:v>
      </x:c>
      <x:c r="Y24" s="114" t="n">
        <x:f>Y16*'Scenarios'!$C$13*'Scenarios'!$C$5*(1-'Scenarios'!$C$6*'Scenarios'!$C$7)</x:f>
        <x:v>0</x:v>
      </x:c>
      <x:c r="Z24" s="114" t="n">
        <x:f>Z16*'Scenarios'!$C$13*'Scenarios'!$C$5*(1-'Scenarios'!$C$6*'Scenarios'!$C$7)</x:f>
        <x:v>0</x:v>
      </x:c>
      <x:c r="AA24" s="114" t="n">
        <x:f>AA16*'Scenarios'!$C$13*'Scenarios'!$C$5*(1-'Scenarios'!$C$6*'Scenarios'!$C$7)</x:f>
        <x:v>0</x:v>
      </x:c>
      <x:c r="AB24" s="114" t="n">
        <x:f>AB16*'Scenarios'!$C$13*'Scenarios'!$C$5*(1-'Scenarios'!$C$6*'Scenarios'!$C$7)</x:f>
        <x:v>0</x:v>
      </x:c>
      <x:c r="AC24" s="114" t="n">
        <x:f>AC16*'Scenarios'!$C$13*'Scenarios'!$C$5*(1-'Scenarios'!$C$6*'Scenarios'!$C$7)</x:f>
        <x:v>0</x:v>
      </x:c>
      <x:c r="AD24" s="114" t="n">
        <x:f>AD16*'Scenarios'!$C$13*'Scenarios'!$C$5*(1-'Scenarios'!$C$6*'Scenarios'!$C$7)</x:f>
        <x:v>0</x:v>
      </x:c>
      <x:c r="AE24" s="114" t="n">
        <x:f>AE16*'Scenarios'!$C$13*'Scenarios'!$C$5*(1-'Scenarios'!$C$6*'Scenarios'!$C$7)</x:f>
        <x:v>0</x:v>
      </x:c>
      <x:c r="AF24" s="114" t="n">
        <x:f>AF16*'Scenarios'!$C$13*'Scenarios'!$C$5*(1-'Scenarios'!$C$6*'Scenarios'!$C$7)</x:f>
        <x:v>0</x:v>
      </x:c>
      <x:c r="AG24" s="114" t="n">
        <x:f>AG16*'Scenarios'!$C$13*'Scenarios'!$C$5*(1-'Scenarios'!$C$6*'Scenarios'!$C$7)</x:f>
        <x:v>0</x:v>
      </x:c>
      <x:c r="AH24" s="114" t="n">
        <x:f>AH16*'Scenarios'!$C$13*'Scenarios'!$C$5*(1-'Scenarios'!$C$6*'Scenarios'!$C$7)</x:f>
        <x:v>0</x:v>
      </x:c>
      <x:c r="AI24" s="114" t="n">
        <x:f>AI16*'Scenarios'!$C$13*'Scenarios'!$C$5*(1-'Scenarios'!$C$6*'Scenarios'!$C$7)</x:f>
        <x:v>0</x:v>
      </x:c>
      <x:c r="AJ24" s="114" t="n">
        <x:f>AJ16*'Scenarios'!$C$13*'Scenarios'!$C$5*(1-'Scenarios'!$C$6*'Scenarios'!$C$7)</x:f>
        <x:v>0</x:v>
      </x:c>
      <x:c r="AK24" s="114" t="n">
        <x:f>AK16*'Scenarios'!$C$13*'Scenarios'!$C$5*(1-'Scenarios'!$C$6*'Scenarios'!$C$7)</x:f>
        <x:v>0</x:v>
      </x:c>
      <x:c r="AL24" s="114" t="n">
        <x:f>AL16*'Scenarios'!$C$13*'Scenarios'!$C$5*(1-'Scenarios'!$C$6*'Scenarios'!$C$7)</x:f>
        <x:v>0</x:v>
      </x:c>
    </x:row>
    <x:row r="25">
      <x:c r="A25" s="84" t="str">
        <x:v>Expansion revenue</x:v>
      </x:c>
      <x:c r="B25" s="84" t="str">
        <x:v>$</x:v>
      </x:c>
      <x:c r="C25" s="114" t="n">
        <x:f>C17*'Scenarios'!$C$20*'Scenarios'!$C$5*(1-'Scenarios'!$C$6*'Scenarios'!$C$7)</x:f>
        <x:v>0</x:v>
      </x:c>
      <x:c r="D25" s="114" t="n">
        <x:f>D17*'Scenarios'!$C$20*'Scenarios'!$C$5*(1-'Scenarios'!$C$6*'Scenarios'!$C$7)</x:f>
        <x:v>0</x:v>
      </x:c>
      <x:c r="E25" s="114" t="n">
        <x:f>E17*'Scenarios'!$C$20*'Scenarios'!$C$5*(1-'Scenarios'!$C$6*'Scenarios'!$C$7)</x:f>
        <x:v>0.49087500000000006</x:v>
      </x:c>
      <x:c r="F25" s="114" t="n">
        <x:f>F17*'Scenarios'!$C$20*'Scenarios'!$C$5*(1-'Scenarios'!$C$6*'Scenarios'!$C$7)</x:f>
        <x:v>0.96702375</x:v>
      </x:c>
      <x:c r="G25" s="114" t="n">
        <x:f>G17*'Scenarios'!$C$20*'Scenarios'!$C$5*(1-'Scenarios'!$C$6*'Scenarios'!$C$7)</x:f>
        <x:v>1.4288880374999997</x:v>
      </x:c>
      <x:c r="H25" s="114" t="n">
        <x:f>H17*'Scenarios'!$C$20*'Scenarios'!$C$5*(1-'Scenarios'!$C$6*'Scenarios'!$C$7)</x:f>
        <x:v>2.3388963963749996</x:v>
      </x:c>
      <x:c r="I25" s="114" t="n">
        <x:f>I17*'Scenarios'!$C$20*'Scenarios'!$C$5*(1-'Scenarios'!$C$6*'Scenarios'!$C$7)</x:f>
        <x:v>3.2216045044837505</x:v>
      </x:c>
      <x:c r="J25" s="114" t="n">
        <x:f>J17*'Scenarios'!$C$20*'Scenarios'!$C$5*(1-'Scenarios'!$C$6*'Scenarios'!$C$7)</x:f>
        <x:v>4.077831369349238</x:v>
      </x:c>
      <x:c r="K25" s="114" t="n">
        <x:f>K17*'Scenarios'!$C$20*'Scenarios'!$C$5*(1-'Scenarios'!$C$6*'Scenarios'!$C$7)</x:f>
        <x:v>4.90837142826876</x:v>
      </x:c>
      <x:c r="L25" s="114" t="n">
        <x:f>L17*'Scenarios'!$C$20*'Scenarios'!$C$5*(1-'Scenarios'!$C$6*'Scenarios'!$C$7)</x:f>
        <x:v>5.7139952854206975</x:v>
      </x:c>
      <x:c r="M25" s="114" t="n">
        <x:f>M17*'Scenarios'!$C$20*'Scenarios'!$C$5*(1-'Scenarios'!$C$6*'Scenarios'!$C$7)</x:f>
        <x:v>6.495450426858076</x:v>
      </x:c>
      <x:c r="N25" s="114" t="n">
        <x:f>N17*'Scenarios'!$C$20*'Scenarios'!$C$5*(1-'Scenarios'!$C$6*'Scenarios'!$C$7)</x:f>
        <x:v>7.253461914052333</x:v>
      </x:c>
      <x:c r="O25" s="114" t="n">
        <x:f>O17*'Scenarios'!$C$20*'Scenarios'!$C$5*(1-'Scenarios'!$C$6*'Scenarios'!$C$7)</x:f>
        <x:v>7.988733056630764</x:v>
      </x:c>
      <x:c r="P25" s="114" t="n">
        <x:f>P17*'Scenarios'!$C$20*'Scenarios'!$C$5*(1-'Scenarios'!$C$6*'Scenarios'!$C$7)</x:f>
        <x:v>8.701946064931843</x:v>
      </x:c>
      <x:c r="Q25" s="114" t="n">
        <x:f>Q17*'Scenarios'!$C$20*'Scenarios'!$C$5*(1-'Scenarios'!$C$6*'Scenarios'!$C$7)</x:f>
        <x:v>9.884637682983884</x:v>
      </x:c>
      <x:c r="R25" s="114" t="n">
        <x:f>R17*'Scenarios'!$C$20*'Scenarios'!$C$5*(1-'Scenarios'!$C$6*'Scenarios'!$C$7)</x:f>
        <x:v>11.031848552494369</x:v>
      </x:c>
      <x:c r="S25" s="114" t="n">
        <x:f>S17*'Scenarios'!$C$20*'Scenarios'!$C$5*(1-'Scenarios'!$C$6*'Scenarios'!$C$7)</x:f>
        <x:v>12.14464309591954</x:v>
      </x:c>
      <x:c r="T25" s="114" t="n">
        <x:f>T17*'Scenarios'!$C$20*'Scenarios'!$C$5*(1-'Scenarios'!$C$6*'Scenarios'!$C$7)</x:f>
        <x:v>13.22405380304195</x:v>
      </x:c>
      <x:c r="U25" s="114" t="n">
        <x:f>U17*'Scenarios'!$C$20*'Scenarios'!$C$5*(1-'Scenarios'!$C$6*'Scenarios'!$C$7)</x:f>
        <x:v>14.271082188950695</x:v>
      </x:c>
      <x:c r="V25" s="114" t="n">
        <x:f>V17*'Scenarios'!$C$20*'Scenarios'!$C$5*(1-'Scenarios'!$C$6*'Scenarios'!$C$7)</x:f>
        <x:v>15.286699723282176</x:v>
      </x:c>
      <x:c r="W25" s="114" t="n">
        <x:f>W17*'Scenarios'!$C$20*'Scenarios'!$C$5*(1-'Scenarios'!$C$6*'Scenarios'!$C$7)</x:f>
        <x:v>16.76272373158371</x:v>
      </x:c>
      <x:c r="X25" s="114" t="n">
        <x:f>X17*'Scenarios'!$C$20*'Scenarios'!$C$5*(1-'Scenarios'!$C$6*'Scenarios'!$C$7)</x:f>
        <x:v>18.194467019636203</x:v>
      </x:c>
      <x:c r="Y25" s="114" t="n">
        <x:f>Y17*'Scenarios'!$C$20*'Scenarios'!$C$5*(1-'Scenarios'!$C$6*'Scenarios'!$C$7)</x:f>
        <x:v>19.583258009047114</x:v>
      </x:c>
      <x:c r="Z25" s="114" t="n">
        <x:f>Z17*'Scenarios'!$C$20*'Scenarios'!$C$5*(1-'Scenarios'!$C$6*'Scenarios'!$C$7)</x:f>
        <x:v>20.930385268775698</x:v>
      </x:c>
      <x:c r="AA25" s="114" t="n">
        <x:f>AA17*'Scenarios'!$C$20*'Scenarios'!$C$5*(1-'Scenarios'!$C$6*'Scenarios'!$C$7)</x:f>
        <x:v>22.237098710712434</x:v>
      </x:c>
      <x:c r="AB25" s="114" t="n">
        <x:f>AB17*'Scenarios'!$C$20*'Scenarios'!$C$5*(1-'Scenarios'!$C$6*'Scenarios'!$C$7)</x:f>
        <x:v>23.50461074939106</x:v>
      </x:c>
      <x:c r="AC25" s="114" t="n">
        <x:f>AC17*'Scenarios'!$C$20*'Scenarios'!$C$5*(1-'Scenarios'!$C$6*'Scenarios'!$C$7)</x:f>
        <x:v>24.965097426909328</x:v>
      </x:c>
      <x:c r="AD25" s="114" t="n">
        <x:f>AD17*'Scenarios'!$C$20*'Scenarios'!$C$5*(1-'Scenarios'!$C$6*'Scenarios'!$C$7)</x:f>
        <x:v>26.38176950410205</x:v>
      </x:c>
      <x:c r="AE25" s="114" t="n">
        <x:f>AE17*'Scenarios'!$C$20*'Scenarios'!$C$5*(1-'Scenarios'!$C$6*'Scenarios'!$C$7)</x:f>
        <x:v>27.755941418978992</x:v>
      </x:c>
      <x:c r="AF25" s="114" t="n">
        <x:f>AF17*'Scenarios'!$C$20*'Scenarios'!$C$5*(1-'Scenarios'!$C$6*'Scenarios'!$C$7)</x:f>
        <x:v>29.08888817640962</x:v>
      </x:c>
      <x:c r="AG25" s="114" t="n">
        <x:f>AG17*'Scenarios'!$C$20*'Scenarios'!$C$5*(1-'Scenarios'!$C$6*'Scenarios'!$C$7)</x:f>
        <x:v>30.38184653111733</x:v>
      </x:c>
      <x:c r="AH25" s="114" t="n">
        <x:f>AH17*'Scenarios'!$C$20*'Scenarios'!$C$5*(1-'Scenarios'!$C$6*'Scenarios'!$C$7)</x:f>
        <x:v>31.636016135183812</x:v>
      </x:c>
      <x:c r="AI25" s="114" t="n">
        <x:f>AI17*'Scenarios'!$C$20*'Scenarios'!$C$5*(1-'Scenarios'!$C$6*'Scenarios'!$C$7)</x:f>
        <x:v>32.85256065112829</x:v>
      </x:c>
      <x:c r="AJ25" s="114" t="n">
        <x:f>AJ17*'Scenarios'!$C$20*'Scenarios'!$C$5*(1-'Scenarios'!$C$6*'Scenarios'!$C$7)</x:f>
        <x:v>34.032608831594445</x:v>
      </x:c>
      <x:c r="AK25" s="114" t="n">
        <x:f>AK17*'Scenarios'!$C$20*'Scenarios'!$C$5*(1-'Scenarios'!$C$6*'Scenarios'!$C$7)</x:f>
        <x:v>35.17725556664661</x:v>
      </x:c>
      <x:c r="AL25" s="114" t="n">
        <x:f>AL17*'Scenarios'!$C$20*'Scenarios'!$C$5*(1-'Scenarios'!$C$6*'Scenarios'!$C$7)</x:f>
        <x:v>36.28756289964722</x:v>
      </x:c>
    </x:row>
    <x:row r="26">
      <x:c r="A26" s="84" t="str">
        <x:v>Partner enablement revenue</x:v>
      </x:c>
      <x:c r="B26" s="84" t="str">
        <x:v>$</x:v>
      </x:c>
      <x:c r="C26" s="114" t="n">
        <x:f>C18*'Scenarios'!$C$24*'Scenarios'!$C$5</x:f>
        <x:v>0</x:v>
      </x:c>
      <x:c r="D26" s="114" t="n">
        <x:f>D18*'Scenarios'!$C$24*'Scenarios'!$C$5</x:f>
        <x:v>0</x:v>
      </x:c>
      <x:c r="E26" s="114" t="n">
        <x:f>E18*'Scenarios'!$C$24*'Scenarios'!$C$5</x:f>
        <x:v>0</x:v>
      </x:c>
      <x:c r="F26" s="114" t="n">
        <x:f>F18*'Scenarios'!$C$24*'Scenarios'!$C$5</x:f>
        <x:v>0</x:v>
      </x:c>
      <x:c r="G26" s="114" t="n">
        <x:f>G18*'Scenarios'!$C$24*'Scenarios'!$C$5</x:f>
        <x:v>0</x:v>
      </x:c>
      <x:c r="H26" s="114" t="n">
        <x:f>H18*'Scenarios'!$C$24*'Scenarios'!$C$5</x:f>
        <x:v>0</x:v>
      </x:c>
      <x:c r="I26" s="114" t="n">
        <x:f>I18*'Scenarios'!$C$24*'Scenarios'!$C$5</x:f>
        <x:v>0</x:v>
      </x:c>
      <x:c r="J26" s="114" t="n">
        <x:f>J18*'Scenarios'!$C$24*'Scenarios'!$C$5</x:f>
        <x:v>0</x:v>
      </x:c>
      <x:c r="K26" s="114" t="n">
        <x:f>K18*'Scenarios'!$C$24*'Scenarios'!$C$5</x:f>
        <x:v>0</x:v>
      </x:c>
      <x:c r="L26" s="114" t="n">
        <x:f>L18*'Scenarios'!$C$24*'Scenarios'!$C$5</x:f>
        <x:v>0</x:v>
      </x:c>
      <x:c r="M26" s="114" t="n">
        <x:f>M18*'Scenarios'!$C$24*'Scenarios'!$C$5</x:f>
        <x:v>0</x:v>
      </x:c>
      <x:c r="N26" s="114" t="n">
        <x:f>N18*'Scenarios'!$C$24*'Scenarios'!$C$5</x:f>
        <x:v>0</x:v>
      </x:c>
      <x:c r="O26" s="114" t="n">
        <x:f>O18*'Scenarios'!$C$24*'Scenarios'!$C$5</x:f>
        <x:v>0</x:v>
      </x:c>
      <x:c r="P26" s="114" t="n">
        <x:f>P18*'Scenarios'!$C$24*'Scenarios'!$C$5</x:f>
        <x:v>0</x:v>
      </x:c>
      <x:c r="Q26" s="114" t="n">
        <x:f>Q18*'Scenarios'!$C$24*'Scenarios'!$C$5</x:f>
        <x:v>0</x:v>
      </x:c>
      <x:c r="R26" s="114" t="n">
        <x:f>R18*'Scenarios'!$C$24*'Scenarios'!$C$5</x:f>
        <x:v>0</x:v>
      </x:c>
      <x:c r="S26" s="114" t="n">
        <x:f>S18*'Scenarios'!$C$24*'Scenarios'!$C$5</x:f>
        <x:v>0</x:v>
      </x:c>
      <x:c r="T26" s="114" t="n">
        <x:f>T18*'Scenarios'!$C$24*'Scenarios'!$C$5</x:f>
        <x:v>0</x:v>
      </x:c>
      <x:c r="U26" s="114" t="n">
        <x:f>U18*'Scenarios'!$C$24*'Scenarios'!$C$5</x:f>
        <x:v>0</x:v>
      </x:c>
      <x:c r="V26" s="114" t="n">
        <x:f>V18*'Scenarios'!$C$24*'Scenarios'!$C$5</x:f>
        <x:v>0</x:v>
      </x:c>
      <x:c r="W26" s="114" t="n">
        <x:f>W18*'Scenarios'!$C$24*'Scenarios'!$C$5</x:f>
        <x:v>0</x:v>
      </x:c>
      <x:c r="X26" s="114" t="n">
        <x:f>X18*'Scenarios'!$C$24*'Scenarios'!$C$5</x:f>
        <x:v>0</x:v>
      </x:c>
      <x:c r="Y26" s="114" t="n">
        <x:f>Y18*'Scenarios'!$C$24*'Scenarios'!$C$5</x:f>
        <x:v>0</x:v>
      </x:c>
      <x:c r="Z26" s="114" t="n">
        <x:f>Z18*'Scenarios'!$C$24*'Scenarios'!$C$5</x:f>
        <x:v>0</x:v>
      </x:c>
      <x:c r="AA26" s="114" t="n">
        <x:f>AA18*'Scenarios'!$C$24*'Scenarios'!$C$5</x:f>
        <x:v>0</x:v>
      </x:c>
      <x:c r="AB26" s="114" t="n">
        <x:f>AB18*'Scenarios'!$C$24*'Scenarios'!$C$5</x:f>
        <x:v>0</x:v>
      </x:c>
      <x:c r="AC26" s="114" t="n">
        <x:f>AC18*'Scenarios'!$C$24*'Scenarios'!$C$5</x:f>
        <x:v>0</x:v>
      </x:c>
      <x:c r="AD26" s="114" t="n">
        <x:f>AD18*'Scenarios'!$C$24*'Scenarios'!$C$5</x:f>
        <x:v>0</x:v>
      </x:c>
      <x:c r="AE26" s="114" t="n">
        <x:f>AE18*'Scenarios'!$C$24*'Scenarios'!$C$5</x:f>
        <x:v>0</x:v>
      </x:c>
      <x:c r="AF26" s="114" t="n">
        <x:f>AF18*'Scenarios'!$C$24*'Scenarios'!$C$5</x:f>
        <x:v>0</x:v>
      </x:c>
      <x:c r="AG26" s="114" t="n">
        <x:f>AG18*'Scenarios'!$C$24*'Scenarios'!$C$5</x:f>
        <x:v>0</x:v>
      </x:c>
      <x:c r="AH26" s="114" t="n">
        <x:f>AH18*'Scenarios'!$C$24*'Scenarios'!$C$5</x:f>
        <x:v>0</x:v>
      </x:c>
      <x:c r="AI26" s="114" t="n">
        <x:f>AI18*'Scenarios'!$C$24*'Scenarios'!$C$5</x:f>
        <x:v>0</x:v>
      </x:c>
      <x:c r="AJ26" s="114" t="n">
        <x:f>AJ18*'Scenarios'!$C$24*'Scenarios'!$C$5</x:f>
        <x:v>0</x:v>
      </x:c>
      <x:c r="AK26" s="114" t="n">
        <x:f>AK18*'Scenarios'!$C$24*'Scenarios'!$C$5</x:f>
        <x:v>0</x:v>
      </x:c>
      <x:c r="AL26" s="114" t="n">
        <x:f>AL18*'Scenarios'!$C$24*'Scenarios'!$C$5</x:f>
        <x:v>0</x:v>
      </x:c>
    </x:row>
    <x:row r="27">
      <x:c r="A27" s="84" t="str">
        <x:v>Monthly recurring revenue (MRR)</x:v>
      </x:c>
      <x:c r="B27" s="84" t="str">
        <x:v>$</x:v>
      </x:c>
      <x:c r="C27" s="115" t="n">
        <x:f>SUM(C22:C24)</x:f>
        <x:v>0</x:v>
      </x:c>
      <x:c r="D27" s="115" t="n">
        <x:f>SUM(D22:D24)</x:f>
        <x:v>0</x:v>
      </x:c>
      <x:c r="E27" s="115" t="n">
        <x:f>SUM(E22:E24)</x:f>
        <x:v>65.38454999999999</x:v>
      </x:c>
      <x:c r="F27" s="115" t="n">
        <x:f>SUM(F22:F24)</x:f>
        <x:v>128.8075635</x:v>
      </x:c>
      <x:c r="G27" s="115" t="n">
        <x:f>SUM(G22:G24)</x:f>
        <x:v>190.32788659499997</x:v>
      </x:c>
      <x:c r="H27" s="115" t="n">
        <x:f>SUM(H22:H24)</x:f>
        <x:v>311.5409999971499</x:v>
      </x:c>
      <x:c r="I27" s="115" t="n">
        <x:f>SUM(I22:I24)</x:f>
        <x:v>429.11771999723544</x:v>
      </x:c>
      <x:c r="J27" s="115" t="n">
        <x:f>SUM(J22:J24)</x:f>
        <x:v>543.1671383973182</x:v>
      </x:c>
      <x:c r="K27" s="115" t="n">
        <x:f>SUM(K22:K24)</x:f>
        <x:v>653.7950742453987</x:v>
      </x:c>
      <x:c r="L27" s="115" t="n">
        <x:f>SUM(L22:L24)</x:f>
        <x:v>761.1041720180367</x:v>
      </x:c>
      <x:c r="M27" s="115" t="n">
        <x:f>SUM(M22:M24)</x:f>
        <x:v>865.1939968574957</x:v>
      </x:c>
      <x:c r="N27" s="115" t="n">
        <x:f>SUM(N22:N24)</x:f>
        <x:v>966.1611269517705</x:v>
      </x:c>
      <x:c r="O27" s="115" t="n">
        <x:f>SUM(O22:O24)</x:f>
        <x:v>1064.0992431432178</x:v>
      </x:c>
      <x:c r="P27" s="115" t="n">
        <x:f>SUM(P22:P24)</x:f>
        <x:v>1159.099215848921</x:v>
      </x:c>
      <x:c r="Q27" s="115" t="n">
        <x:f>SUM(Q22:Q24)</x:f>
        <x:v>1316.6337393734534</x:v>
      </x:c>
      <x:c r="R27" s="115" t="n">
        <x:f>SUM(R22:R24)</x:f>
        <x:v>1469.44222719225</x:v>
      </x:c>
      <x:c r="S27" s="115" t="n">
        <x:f>SUM(S22:S24)</x:f>
        <x:v>1617.6664603764825</x:v>
      </x:c>
      <x:c r="T27" s="115" t="n">
        <x:f>SUM(T22:T24)</x:f>
        <x:v>1761.4439665651878</x:v>
      </x:c>
      <x:c r="U27" s="115" t="n">
        <x:f>SUM(U22:U24)</x:f>
        <x:v>1900.9081475682324</x:v>
      </x:c>
      <x:c r="V27" s="115" t="n">
        <x:f>SUM(V22:V24)</x:f>
        <x:v>2036.1884031411857</x:v>
      </x:c>
      <x:c r="W27" s="115" t="n">
        <x:f>SUM(W22:W24)</x:f>
        <x:v>2232.79480104695</x:v>
      </x:c>
      <x:c r="X27" s="115" t="n">
        <x:f>SUM(X22:X24)</x:f>
        <x:v>2423.5030070155417</x:v>
      </x:c>
      <x:c r="Y27" s="115" t="n">
        <x:f>SUM(Y22:Y24)</x:f>
        <x:v>2608.4899668050757</x:v>
      </x:c>
      <x:c r="Z27" s="115" t="n">
        <x:f>SUM(Z22:Z24)</x:f>
        <x:v>2787.9273178009234</x:v>
      </x:c>
      <x:c r="AA27" s="115" t="n">
        <x:f>SUM(AA22:AA24)</x:f>
        <x:v>2961.9815482668955</x:v>
      </x:c>
      <x:c r="AB27" s="115" t="n">
        <x:f>SUM(AB22:AB24)</x:f>
        <x:v>3130.8141518188886</x:v>
      </x:c>
      <x:c r="AC27" s="115" t="n">
        <x:f>SUM(AC22:AC24)</x:f>
        <x:v>3325.350977264322</x:v>
      </x:c>
      <x:c r="AD27" s="115" t="n">
        <x:f>SUM(AD22:AD24)</x:f>
        <x:v>3514.051697946393</x:v>
      </x:c>
      <x:c r="AE27" s="115" t="n">
        <x:f>SUM(AE22:AE24)</x:f>
        <x:v>3697.091397008</x:v>
      </x:c>
      <x:c r="AF27" s="115" t="n">
        <x:f>SUM(AF22:AF24)</x:f>
        <x:v>3874.6399050977607</x:v>
      </x:c>
      <x:c r="AG27" s="115" t="n">
        <x:f>SUM(AG22:AG24)</x:f>
        <x:v>4046.861957944827</x:v>
      </x:c>
      <x:c r="AH27" s="115" t="n">
        <x:f>SUM(AH22:AH24)</x:f>
        <x:v>4213.917349206482</x:v>
      </x:c>
      <x:c r="AI27" s="115" t="n">
        <x:f>SUM(AI22:AI24)</x:f>
        <x:v>4375.961078730289</x:v>
      </x:c>
      <x:c r="AJ27" s="115" t="n">
        <x:f>SUM(AJ22:AJ24)</x:f>
        <x:v>4533.14349636838</x:v>
      </x:c>
      <x:c r="AK27" s="115" t="n">
        <x:f>SUM(AK22:AK24)</x:f>
        <x:v>4685.610441477329</x:v>
      </x:c>
      <x:c r="AL27" s="115" t="n">
        <x:f>SUM(AL22:AL24)</x:f>
        <x:v>4833.50337823301</x:v>
      </x:c>
    </x:row>
    <x:row r="28">
      <x:c r="A28" s="84" t="str">
        <x:v>Total revenue</x:v>
      </x:c>
      <x:c r="B28" s="84" t="str">
        <x:v>$</x:v>
      </x:c>
      <x:c r="C28" s="114" t="n">
        <x:f>SUM(C20:C26)</x:f>
        <x:v>336.6000000000001</x:v>
      </x:c>
      <x:c r="D28" s="114" t="n">
        <x:f>SUM(D20:D26)</x:f>
        <x:v>737.1540000000001</x:v>
      </x:c>
      <x:c r="E28" s="114" t="n">
        <x:f>SUM(E20:E26)</x:f>
        <x:v>803.0294250000001</x:v>
      </x:c>
      <x:c r="F28" s="114" t="n">
        <x:f>SUM(F20:F26)</x:f>
        <x:v>1183.72858725</x:v>
      </x:c>
      <x:c r="G28" s="114" t="n">
        <x:f>SUM(G20:G26)</x:f>
        <x:v>1622.7027746325</x:v>
      </x:c>
      <x:c r="H28" s="114" t="n">
        <x:f>SUM(H20:H26)</x:f>
        <x:v>1744.8258963935248</x:v>
      </x:c>
      <x:c r="I28" s="114" t="n">
        <x:f>SUM(I20:I26)</x:f>
        <x:v>1863.285324501719</x:v>
      </x:c>
      <x:c r="J28" s="114" t="n">
        <x:f>SUM(J20:J26)</x:f>
        <x:v>1978.1909697666674</x:v>
      </x:c>
      <x:c r="K28" s="114" t="n">
        <x:f>SUM(K20:K26)</x:f>
        <x:v>2089.6494456736673</x:v>
      </x:c>
      <x:c r="L28" s="114" t="n">
        <x:f>SUM(L20:L26)</x:f>
        <x:v>2197.7641673034577</x:v>
      </x:c>
      <x:c r="M28" s="114" t="n">
        <x:f>SUM(M20:M26)</x:f>
        <x:v>2302.6354472843536</x:v>
      </x:c>
      <x:c r="N28" s="114" t="n">
        <x:f>SUM(N20:N26)</x:f>
        <x:v>2404.360588865823</x:v>
      </x:c>
      <x:c r="O28" s="114" t="n">
        <x:f>SUM(O20:O26)</x:f>
        <x:v>2839.633976199848</x:v>
      </x:c>
      <x:c r="P28" s="114" t="n">
        <x:f>SUM(P20:P26)</x:f>
        <x:v>3335.9011619138523</x:v>
      </x:c>
      <x:c r="Q28" s="114" t="n">
        <x:f>SUM(Q20:Q26)</x:f>
        <x:v>3494.618377056437</x:v>
      </x:c>
      <x:c r="R28" s="114" t="n">
        <x:f>SUM(R20:R26)</x:f>
        <x:v>3648.5740757447443</x:v>
      </x:c>
      <x:c r="S28" s="114" t="n">
        <x:f>SUM(S20:S26)</x:f>
        <x:v>3797.911103472402</x:v>
      </x:c>
      <x:c r="T28" s="114" t="n">
        <x:f>SUM(T20:T26)</x:f>
        <x:v>3942.76802036823</x:v>
      </x:c>
      <x:c r="U28" s="114" t="n">
        <x:f>SUM(U20:U26)</x:f>
        <x:v>4419.879229757183</x:v>
      </x:c>
      <x:c r="V28" s="114" t="n">
        <x:f>SUM(V20:V26)</x:f>
        <x:v>4956.729102864468</x:v>
      </x:c>
      <x:c r="W28" s="114" t="n">
        <x:f>SUM(W20:W26)</x:f>
        <x:v>5154.811524778534</x:v>
      </x:c>
      <x:c r="X28" s="114" t="n">
        <x:f>SUM(X20:X26)</x:f>
        <x:v>5346.951474035178</x:v>
      </x:c>
      <x:c r="Y28" s="114" t="n">
        <x:f>SUM(Y20:Y26)</x:f>
        <x:v>5533.327224814123</x:v>
      </x:c>
      <x:c r="Z28" s="114" t="n">
        <x:f>SUM(Z20:Z26)</x:f>
        <x:v>5714.111703069699</x:v>
      </x:c>
      <x:c r="AA28" s="114" t="n">
        <x:f>SUM(AA20:AA26)</x:f>
        <x:v>6047.8726469776075</x:v>
      </x:c>
      <x:c r="AB28" s="114" t="n">
        <x:f>SUM(AB20:AB26)</x:f>
        <x:v>6406.46876256828</x:v>
      </x:c>
      <x:c r="AC28" s="114" t="n">
        <x:f>SUM(AC20:AC26)</x:f>
        <x:v>6602.466074691231</x:v>
      </x:c>
      <x:c r="AD28" s="114" t="n">
        <x:f>SUM(AD20:AD26)</x:f>
        <x:v>6792.583467450494</x:v>
      </x:c>
      <x:c r="AE28" s="114" t="n">
        <x:f>SUM(AE20:AE26)</x:f>
        <x:v>6976.997338426979</x:v>
      </x:c>
      <x:c r="AF28" s="114" t="n">
        <x:f>SUM(AF20:AF26)</x:f>
        <x:v>7155.87879327417</x:v>
      </x:c>
      <x:c r="AG28" s="114" t="n">
        <x:f>SUM(AG20:AG26)</x:f>
        <x:v>7329.393804475943</x:v>
      </x:c>
      <x:c r="AH28" s="114" t="n">
        <x:f>SUM(AH20:AH26)</x:f>
        <x:v>7497.703365341665</x:v>
      </x:c>
      <x:c r="AI28" s="114" t="n">
        <x:f>SUM(AI20:AI26)</x:f>
        <x:v>7660.963639381417</x:v>
      </x:c>
      <x:c r="AJ28" s="114" t="n">
        <x:f>SUM(AJ20:AJ26)</x:f>
        <x:v>7819.326105199973</x:v>
      </x:c>
      <x:c r="AK28" s="114" t="n">
        <x:f>SUM(AK20:AK26)</x:f>
        <x:v>7972.937697043975</x:v>
      </x:c>
      <x:c r="AL28" s="114" t="n">
        <x:f>SUM(AL20:AL26)</x:f>
        <x:v>8121.940941132657</x:v>
      </x:c>
    </x:row>
    <x:row r="29">
      <x:c r="A29" s="63" t="str">
        <x:v>DELIVERY CAPACITY</x:v>
      </x:c>
      <x:c r="B29" s="63" t="str"/>
      <x:c r="C29" s="112"/>
      <x:c r="D29" s="112"/>
      <x:c r="E29" s="112"/>
      <x:c r="F29" s="112"/>
      <x:c r="G29" s="112"/>
      <x:c r="H29" s="112"/>
      <x:c r="I29" s="112"/>
      <x:c r="J29" s="112"/>
      <x:c r="K29" s="112"/>
      <x:c r="L29" s="112"/>
      <x:c r="M29" s="112"/>
      <x:c r="N29" s="112"/>
      <x:c r="O29" s="112"/>
      <x:c r="P29" s="112"/>
      <x:c r="Q29" s="112"/>
      <x:c r="R29" s="112"/>
      <x:c r="S29" s="112"/>
      <x:c r="T29" s="112"/>
      <x:c r="U29" s="112"/>
      <x:c r="V29" s="112"/>
      <x:c r="W29" s="112"/>
      <x:c r="X29" s="112"/>
      <x:c r="Y29" s="112"/>
      <x:c r="Z29" s="112"/>
      <x:c r="AA29" s="112"/>
      <x:c r="AB29" s="112"/>
      <x:c r="AC29" s="112"/>
      <x:c r="AD29" s="112"/>
      <x:c r="AE29" s="112"/>
      <x:c r="AF29" s="112"/>
      <x:c r="AG29" s="112"/>
      <x:c r="AH29" s="112"/>
      <x:c r="AI29" s="112"/>
      <x:c r="AJ29" s="112"/>
      <x:c r="AK29" s="112"/>
      <x:c r="AL29" s="112"/>
    </x:row>
    <x:row r="30">
      <x:c r="A30" s="84" t="str">
        <x:v>Review hours</x:v>
      </x:c>
      <x:c r="B30" s="84" t="str">
        <x:v>hours</x:v>
      </x:c>
      <x:c r="C30" s="113" t="n">
        <x:f>C9*'Scenarios'!$C$40*'Scenarios'!$C$47</x:f>
        <x:v>2.04</x:v>
      </x:c>
      <x:c r="D30" s="113" t="n">
        <x:f>D9*'Scenarios'!$C$40*'Scenarios'!$C$47</x:f>
        <x:v>2.04</x:v>
      </x:c>
      <x:c r="E30" s="113" t="n">
        <x:f>E9*'Scenarios'!$C$40*'Scenarios'!$C$47</x:f>
        <x:v>2.04</x:v>
      </x:c>
      <x:c r="F30" s="113" t="n">
        <x:f>F9*'Scenarios'!$C$40*'Scenarios'!$C$47</x:f>
        <x:v>3.96</x:v>
      </x:c>
      <x:c r="G30" s="113" t="n">
        <x:f>G9*'Scenarios'!$C$40*'Scenarios'!$C$47</x:f>
        <x:v>3.96</x:v>
      </x:c>
      <x:c r="H30" s="113" t="n">
        <x:f>H9*'Scenarios'!$C$40*'Scenarios'!$C$47</x:f>
        <x:v>3.96</x:v>
      </x:c>
      <x:c r="I30" s="113" t="n">
        <x:f>I9*'Scenarios'!$C$40*'Scenarios'!$C$47</x:f>
        <x:v>3.96</x:v>
      </x:c>
      <x:c r="J30" s="113" t="n">
        <x:f>J9*'Scenarios'!$C$40*'Scenarios'!$C$47</x:f>
        <x:v>3.96</x:v>
      </x:c>
      <x:c r="K30" s="113" t="n">
        <x:f>K9*'Scenarios'!$C$40*'Scenarios'!$C$47</x:f>
        <x:v>3.96</x:v>
      </x:c>
      <x:c r="L30" s="113" t="n">
        <x:f>L9*'Scenarios'!$C$40*'Scenarios'!$C$47</x:f>
        <x:v>3.96</x:v>
      </x:c>
      <x:c r="M30" s="113" t="n">
        <x:f>M9*'Scenarios'!$C$40*'Scenarios'!$C$47</x:f>
        <x:v>3.96</x:v>
      </x:c>
      <x:c r="N30" s="113" t="n">
        <x:f>N9*'Scenarios'!$C$40*'Scenarios'!$C$47</x:f>
        <x:v>3.96</x:v>
      </x:c>
      <x:c r="O30" s="113" t="n">
        <x:f>O9*'Scenarios'!$C$40*'Scenarios'!$C$47</x:f>
        <x:v>6</x:v>
      </x:c>
      <x:c r="P30" s="113" t="n">
        <x:f>P9*'Scenarios'!$C$40*'Scenarios'!$C$47</x:f>
        <x:v>6</x:v>
      </x:c>
      <x:c r="Q30" s="113" t="n">
        <x:f>Q9*'Scenarios'!$C$40*'Scenarios'!$C$47</x:f>
        <x:v>6</x:v>
      </x:c>
      <x:c r="R30" s="113" t="n">
        <x:f>R9*'Scenarios'!$C$40*'Scenarios'!$C$47</x:f>
        <x:v>6</x:v>
      </x:c>
      <x:c r="S30" s="113" t="n">
        <x:f>S9*'Scenarios'!$C$40*'Scenarios'!$C$47</x:f>
        <x:v>6</x:v>
      </x:c>
      <x:c r="T30" s="113" t="n">
        <x:f>T9*'Scenarios'!$C$40*'Scenarios'!$C$47</x:f>
        <x:v>6</x:v>
      </x:c>
      <x:c r="U30" s="113" t="n">
        <x:f>U9*'Scenarios'!$C$40*'Scenarios'!$C$47</x:f>
        <x:v>8.04</x:v>
      </x:c>
      <x:c r="V30" s="113" t="n">
        <x:f>V9*'Scenarios'!$C$40*'Scenarios'!$C$47</x:f>
        <x:v>8.04</x:v>
      </x:c>
      <x:c r="W30" s="113" t="n">
        <x:f>W9*'Scenarios'!$C$40*'Scenarios'!$C$47</x:f>
        <x:v>8.04</x:v>
      </x:c>
      <x:c r="X30" s="113" t="n">
        <x:f>X9*'Scenarios'!$C$40*'Scenarios'!$C$47</x:f>
        <x:v>8.04</x:v>
      </x:c>
      <x:c r="Y30" s="113" t="n">
        <x:f>Y9*'Scenarios'!$C$40*'Scenarios'!$C$47</x:f>
        <x:v>8.04</x:v>
      </x:c>
      <x:c r="Z30" s="113" t="n">
        <x:f>Z9*'Scenarios'!$C$40*'Scenarios'!$C$47</x:f>
        <x:v>8.04</x:v>
      </x:c>
      <x:c r="AA30" s="113" t="n">
        <x:f>AA9*'Scenarios'!$C$40*'Scenarios'!$C$47</x:f>
        <x:v>9</x:v>
      </x:c>
      <x:c r="AB30" s="113" t="n">
        <x:f>AB9*'Scenarios'!$C$40*'Scenarios'!$C$47</x:f>
        <x:v>9</x:v>
      </x:c>
      <x:c r="AC30" s="113" t="n">
        <x:f>AC9*'Scenarios'!$C$40*'Scenarios'!$C$47</x:f>
        <x:v>9</x:v>
      </x:c>
      <x:c r="AD30" s="113" t="n">
        <x:f>AD9*'Scenarios'!$C$40*'Scenarios'!$C$47</x:f>
        <x:v>9</x:v>
      </x:c>
      <x:c r="AE30" s="113" t="n">
        <x:f>AE9*'Scenarios'!$C$40*'Scenarios'!$C$47</x:f>
        <x:v>9</x:v>
      </x:c>
      <x:c r="AF30" s="113" t="n">
        <x:f>AF9*'Scenarios'!$C$40*'Scenarios'!$C$47</x:f>
        <x:v>9</x:v>
      </x:c>
      <x:c r="AG30" s="113" t="n">
        <x:f>AG9*'Scenarios'!$C$40*'Scenarios'!$C$47</x:f>
        <x:v>9</x:v>
      </x:c>
      <x:c r="AH30" s="113" t="n">
        <x:f>AH9*'Scenarios'!$C$40*'Scenarios'!$C$47</x:f>
        <x:v>9</x:v>
      </x:c>
      <x:c r="AI30" s="113" t="n">
        <x:f>AI9*'Scenarios'!$C$40*'Scenarios'!$C$47</x:f>
        <x:v>9</x:v>
      </x:c>
      <x:c r="AJ30" s="113" t="n">
        <x:f>AJ9*'Scenarios'!$C$40*'Scenarios'!$C$47</x:f>
        <x:v>9</x:v>
      </x:c>
      <x:c r="AK30" s="113" t="n">
        <x:f>AK9*'Scenarios'!$C$40*'Scenarios'!$C$47</x:f>
        <x:v>9</x:v>
      </x:c>
      <x:c r="AL30" s="113" t="n">
        <x:f>AL9*'Scenarios'!$C$40*'Scenarios'!$C$47</x:f>
        <x:v>9</x:v>
      </x:c>
    </x:row>
    <x:row r="31">
      <x:c r="A31" s="84" t="str">
        <x:v>Launch hours</x:v>
      </x:c>
      <x:c r="B31" s="84" t="str">
        <x:v>hours</x:v>
      </x:c>
      <x:c r="C31" s="113" t="n">
        <x:f>C10*'Scenarios'!$C$41*'Scenarios'!$C$47</x:f>
        <x:v>0</x:v>
      </x:c>
      <x:c r="D31" s="113" t="n">
        <x:f>D10*'Scenarios'!$C$41*'Scenarios'!$C$47</x:f>
        <x:v>3.5699999999999994</x:v>
      </x:c>
      <x:c r="E31" s="113" t="n">
        <x:f>E10*'Scenarios'!$C$41*'Scenarios'!$C$47</x:f>
        <x:v>3.5699999999999994</x:v>
      </x:c>
      <x:c r="F31" s="113" t="n">
        <x:f>F10*'Scenarios'!$C$41*'Scenarios'!$C$47</x:f>
        <x:v>3.5699999999999994</x:v>
      </x:c>
      <x:c r="G31" s="113" t="n">
        <x:f>G10*'Scenarios'!$C$41*'Scenarios'!$C$47</x:f>
        <x:v>6.929999999999999</x:v>
      </x:c>
      <x:c r="H31" s="113" t="n">
        <x:f>H10*'Scenarios'!$C$41*'Scenarios'!$C$47</x:f>
        <x:v>6.929999999999999</x:v>
      </x:c>
      <x:c r="I31" s="113" t="n">
        <x:f>I10*'Scenarios'!$C$41*'Scenarios'!$C$47</x:f>
        <x:v>6.929999999999999</x:v>
      </x:c>
      <x:c r="J31" s="113" t="n">
        <x:f>J10*'Scenarios'!$C$41*'Scenarios'!$C$47</x:f>
        <x:v>6.929999999999999</x:v>
      </x:c>
      <x:c r="K31" s="113" t="n">
        <x:f>K10*'Scenarios'!$C$41*'Scenarios'!$C$47</x:f>
        <x:v>6.929999999999999</x:v>
      </x:c>
      <x:c r="L31" s="113" t="n">
        <x:f>L10*'Scenarios'!$C$41*'Scenarios'!$C$47</x:f>
        <x:v>6.929999999999999</x:v>
      </x:c>
      <x:c r="M31" s="113" t="n">
        <x:f>M10*'Scenarios'!$C$41*'Scenarios'!$C$47</x:f>
        <x:v>6.929999999999999</x:v>
      </x:c>
      <x:c r="N31" s="113" t="n">
        <x:f>N10*'Scenarios'!$C$41*'Scenarios'!$C$47</x:f>
        <x:v>6.929999999999999</x:v>
      </x:c>
      <x:c r="O31" s="113" t="n">
        <x:f>O10*'Scenarios'!$C$41*'Scenarios'!$C$47</x:f>
        <x:v>6.929999999999999</x:v>
      </x:c>
      <x:c r="P31" s="113" t="n">
        <x:f>P10*'Scenarios'!$C$41*'Scenarios'!$C$47</x:f>
        <x:v>10.5</x:v>
      </x:c>
      <x:c r="Q31" s="113" t="n">
        <x:f>Q10*'Scenarios'!$C$41*'Scenarios'!$C$47</x:f>
        <x:v>10.5</x:v>
      </x:c>
      <x:c r="R31" s="113" t="n">
        <x:f>R10*'Scenarios'!$C$41*'Scenarios'!$C$47</x:f>
        <x:v>10.5</x:v>
      </x:c>
      <x:c r="S31" s="113" t="n">
        <x:f>S10*'Scenarios'!$C$41*'Scenarios'!$C$47</x:f>
        <x:v>10.5</x:v>
      </x:c>
      <x:c r="T31" s="113" t="n">
        <x:f>T10*'Scenarios'!$C$41*'Scenarios'!$C$47</x:f>
        <x:v>10.5</x:v>
      </x:c>
      <x:c r="U31" s="113" t="n">
        <x:f>U10*'Scenarios'!$C$41*'Scenarios'!$C$47</x:f>
        <x:v>10.5</x:v>
      </x:c>
      <x:c r="V31" s="113" t="n">
        <x:f>V10*'Scenarios'!$C$41*'Scenarios'!$C$47</x:f>
        <x:v>14.069999999999999</x:v>
      </x:c>
      <x:c r="W31" s="113" t="n">
        <x:f>W10*'Scenarios'!$C$41*'Scenarios'!$C$47</x:f>
        <x:v>14.069999999999999</x:v>
      </x:c>
      <x:c r="X31" s="113" t="n">
        <x:f>X10*'Scenarios'!$C$41*'Scenarios'!$C$47</x:f>
        <x:v>14.069999999999999</x:v>
      </x:c>
      <x:c r="Y31" s="113" t="n">
        <x:f>Y10*'Scenarios'!$C$41*'Scenarios'!$C$47</x:f>
        <x:v>14.069999999999999</x:v>
      </x:c>
      <x:c r="Z31" s="113" t="n">
        <x:f>Z10*'Scenarios'!$C$41*'Scenarios'!$C$47</x:f>
        <x:v>14.069999999999999</x:v>
      </x:c>
      <x:c r="AA31" s="113" t="n">
        <x:f>AA10*'Scenarios'!$C$41*'Scenarios'!$C$47</x:f>
        <x:v>14.069999999999999</x:v>
      </x:c>
      <x:c r="AB31" s="113" t="n">
        <x:f>AB10*'Scenarios'!$C$41*'Scenarios'!$C$47</x:f>
        <x:v>15.749999999999996</x:v>
      </x:c>
      <x:c r="AC31" s="113" t="n">
        <x:f>AC10*'Scenarios'!$C$41*'Scenarios'!$C$47</x:f>
        <x:v>15.749999999999996</x:v>
      </x:c>
      <x:c r="AD31" s="113" t="n">
        <x:f>AD10*'Scenarios'!$C$41*'Scenarios'!$C$47</x:f>
        <x:v>15.749999999999996</x:v>
      </x:c>
      <x:c r="AE31" s="113" t="n">
        <x:f>AE10*'Scenarios'!$C$41*'Scenarios'!$C$47</x:f>
        <x:v>15.749999999999996</x:v>
      </x:c>
      <x:c r="AF31" s="113" t="n">
        <x:f>AF10*'Scenarios'!$C$41*'Scenarios'!$C$47</x:f>
        <x:v>15.749999999999996</x:v>
      </x:c>
      <x:c r="AG31" s="113" t="n">
        <x:f>AG10*'Scenarios'!$C$41*'Scenarios'!$C$47</x:f>
        <x:v>15.749999999999996</x:v>
      </x:c>
      <x:c r="AH31" s="113" t="n">
        <x:f>AH10*'Scenarios'!$C$41*'Scenarios'!$C$47</x:f>
        <x:v>15.749999999999996</x:v>
      </x:c>
      <x:c r="AI31" s="113" t="n">
        <x:f>AI10*'Scenarios'!$C$41*'Scenarios'!$C$47</x:f>
        <x:v>15.749999999999996</x:v>
      </x:c>
      <x:c r="AJ31" s="113" t="n">
        <x:f>AJ10*'Scenarios'!$C$41*'Scenarios'!$C$47</x:f>
        <x:v>15.749999999999996</x:v>
      </x:c>
      <x:c r="AK31" s="113" t="n">
        <x:f>AK10*'Scenarios'!$C$41*'Scenarios'!$C$47</x:f>
        <x:v>15.749999999999996</x:v>
      </x:c>
      <x:c r="AL31" s="113" t="n">
        <x:f>AL10*'Scenarios'!$C$41*'Scenarios'!$C$47</x:f>
        <x:v>15.749999999999996</x:v>
      </x:c>
    </x:row>
    <x:row r="32">
      <x:c r="A32" s="84" t="str">
        <x:v>Core recurring hours</x:v>
      </x:c>
      <x:c r="B32" s="84" t="str">
        <x:v>hours</x:v>
      </x:c>
      <x:c r="C32" s="113" t="n">
        <x:f>C14*'Scenarios'!$C$42*'Scenarios'!$C$47</x:f>
        <x:v>0</x:v>
      </x:c>
      <x:c r="D32" s="113" t="n">
        <x:f>D14*'Scenarios'!$C$42*'Scenarios'!$C$47</x:f>
        <x:v>0</x:v>
      </x:c>
      <x:c r="E32" s="113" t="n">
        <x:f>E14*'Scenarios'!$C$42*'Scenarios'!$C$47</x:f>
        <x:v>0.21241499999999994</x:v>
      </x:c>
      <x:c r="F32" s="113" t="n">
        <x:f>F14*'Scenarios'!$C$42*'Scenarios'!$C$47</x:f>
        <x:v>0.4184575499999999</x:v>
      </x:c>
      <x:c r="G32" s="113" t="n">
        <x:f>G14*'Scenarios'!$C$42*'Scenarios'!$C$47</x:f>
        <x:v>0.6183188234999999</x:v>
      </x:c>
      <x:c r="H32" s="113" t="n">
        <x:f>H14*'Scenarios'!$C$42*'Scenarios'!$C$47</x:f>
        <x:v>1.0121042587949998</x:v>
      </x:c>
      <x:c r="I32" s="113" t="n">
        <x:f>I14*'Scenarios'!$C$42*'Scenarios'!$C$47</x:f>
        <x:v>1.3940761310311498</x:v>
      </x:c>
      <x:c r="J32" s="113" t="n">
        <x:f>J14*'Scenarios'!$C$42*'Scenarios'!$C$47</x:f>
        <x:v>1.7645888471002151</x:v>
      </x:c>
      <x:c r="K32" s="113" t="n">
        <x:f>K14*'Scenarios'!$C$42*'Scenarios'!$C$47</x:f>
        <x:v>2.1239861816872083</x:v>
      </x:c>
      <x:c r="L32" s="113" t="n">
        <x:f>L14*'Scenarios'!$C$42*'Scenarios'!$C$47</x:f>
        <x:v>2.472601596236592</x:v>
      </x:c>
      <x:c r="M32" s="113" t="n">
        <x:f>M14*'Scenarios'!$C$42*'Scenarios'!$C$47</x:f>
        <x:v>2.810758548349494</x:v>
      </x:c>
      <x:c r="N32" s="113" t="n">
        <x:f>N14*'Scenarios'!$C$42*'Scenarios'!$C$47</x:f>
        <x:v>3.138770791899009</x:v>
      </x:c>
      <x:c r="O32" s="113" t="n">
        <x:f>O14*'Scenarios'!$C$42*'Scenarios'!$C$47</x:f>
        <x:v>3.456942668142039</x:v>
      </x:c>
      <x:c r="P32" s="113" t="n">
        <x:f>P14*'Scenarios'!$C$42*'Scenarios'!$C$47</x:f>
        <x:v>3.7655693880977776</x:v>
      </x:c>
      <x:c r="Q32" s="113" t="n">
        <x:f>Q14*'Scenarios'!$C$42*'Scenarios'!$C$47</x:f>
        <x:v>4.277352306454844</x:v>
      </x:c>
      <x:c r="R32" s="113" t="n">
        <x:f>R14*'Scenarios'!$C$42*'Scenarios'!$C$47</x:f>
        <x:v>4.773781737261198</x:v>
      </x:c>
      <x:c r="S32" s="113" t="n">
        <x:f>S14*'Scenarios'!$C$42*'Scenarios'!$C$47</x:f>
        <x:v>5.255318285143363</x:v>
      </x:c>
      <x:c r="T32" s="113" t="n">
        <x:f>T14*'Scenarios'!$C$42*'Scenarios'!$C$47</x:f>
        <x:v>5.722408736589062</x:v>
      </x:c>
      <x:c r="U32" s="113" t="n">
        <x:f>U14*'Scenarios'!$C$42*'Scenarios'!$C$47</x:f>
        <x:v>6.17548647449139</x:v>
      </x:c>
      <x:c r="V32" s="113" t="n">
        <x:f>V14*'Scenarios'!$C$42*'Scenarios'!$C$47</x:f>
        <x:v>6.6149718802566495</x:v>
      </x:c>
      <x:c r="W32" s="113" t="n">
        <x:f>W14*'Scenarios'!$C$42*'Scenarios'!$C$47</x:f>
        <x:v>7.25368772384895</x:v>
      </x:c>
      <x:c r="X32" s="113" t="n">
        <x:f>X14*'Scenarios'!$C$42*'Scenarios'!$C$47</x:f>
        <x:v>7.873242092133482</x:v>
      </x:c>
      <x:c r="Y32" s="113" t="n">
        <x:f>Y14*'Scenarios'!$C$42*'Scenarios'!$C$47</x:f>
        <x:v>8.474209829369478</x:v>
      </x:c>
      <x:c r="Z32" s="113" t="n">
        <x:f>Z14*'Scenarios'!$C$42*'Scenarios'!$C$47</x:f>
        <x:v>9.057148534488393</x:v>
      </x:c>
      <x:c r="AA32" s="113" t="n">
        <x:f>AA14*'Scenarios'!$C$42*'Scenarios'!$C$47</x:f>
        <x:v>9.622599078453742</x:v>
      </x:c>
      <x:c r="AB32" s="113" t="n">
        <x:f>AB14*'Scenarios'!$C$42*'Scenarios'!$C$47</x:f>
        <x:v>10.17108610610013</x:v>
      </x:c>
      <x:c r="AC32" s="113" t="n">
        <x:f>AC14*'Scenarios'!$C$42*'Scenarios'!$C$47</x:f>
        <x:v>10.803078522917126</x:v>
      </x:c>
      <x:c r="AD32" s="113" t="n">
        <x:f>AD14*'Scenarios'!$C$42*'Scenarios'!$C$47</x:f>
        <x:v>11.41611116722961</x:v>
      </x:c>
      <x:c r="AE32" s="113" t="n">
        <x:f>AE14*'Scenarios'!$C$42*'Scenarios'!$C$47</x:f>
        <x:v>12.010752832212722</x:v>
      </x:c>
      <x:c r="AF32" s="113" t="n">
        <x:f>AF14*'Scenarios'!$C$42*'Scenarios'!$C$47</x:f>
        <x:v>12.58755524724634</x:v>
      </x:c>
      <x:c r="AG32" s="113" t="n">
        <x:f>AG14*'Scenarios'!$C$42*'Scenarios'!$C$47</x:f>
        <x:v>13.147053589828948</x:v>
      </x:c>
      <x:c r="AH32" s="113" t="n">
        <x:f>AH14*'Scenarios'!$C$42*'Scenarios'!$C$47</x:f>
        <x:v>13.68976698213408</x:v>
      </x:c>
      <x:c r="AI32" s="113" t="n">
        <x:f>AI14*'Scenarios'!$C$42*'Scenarios'!$C$47</x:f>
        <x:v>14.216198972670062</x:v>
      </x:c>
      <x:c r="AJ32" s="113" t="n">
        <x:f>AJ14*'Scenarios'!$C$42*'Scenarios'!$C$47</x:f>
        <x:v>14.726838003489958</x:v>
      </x:c>
      <x:c r="AK32" s="113" t="n">
        <x:f>AK14*'Scenarios'!$C$42*'Scenarios'!$C$47</x:f>
        <x:v>15.222157863385261</x:v>
      </x:c>
      <x:c r="AL32" s="113" t="n">
        <x:f>AL14*'Scenarios'!$C$42*'Scenarios'!$C$47</x:f>
        <x:v>15.702618127483703</x:v>
      </x:c>
    </x:row>
    <x:row r="33">
      <x:c r="A33" s="84" t="str">
        <x:v>Operate recurring hours</x:v>
      </x:c>
      <x:c r="B33" s="84" t="str">
        <x:v>hours</x:v>
      </x:c>
      <x:c r="C33" s="113" t="n">
        <x:f>C15*'Scenarios'!$C$43*'Scenarios'!$C$47</x:f>
        <x:v>0</x:v>
      </x:c>
      <x:c r="D33" s="113" t="n">
        <x:f>D15*'Scenarios'!$C$43*'Scenarios'!$C$47</x:f>
        <x:v>0</x:v>
      </x:c>
      <x:c r="E33" s="113" t="n">
        <x:f>E15*'Scenarios'!$C$43*'Scenarios'!$C$47</x:f>
        <x:v>0.16065</x:v>
      </x:c>
      <x:c r="F33" s="113" t="n">
        <x:f>F15*'Scenarios'!$C$43*'Scenarios'!$C$47</x:f>
        <x:v>0.3164804999999999</x:v>
      </x:c>
      <x:c r="G33" s="113" t="n">
        <x:f>G15*'Scenarios'!$C$43*'Scenarios'!$C$47</x:f>
        <x:v>0.4676360849999999</x:v>
      </x:c>
      <x:c r="H33" s="113" t="n">
        <x:f>H15*'Scenarios'!$C$43*'Scenarios'!$C$47</x:f>
        <x:v>0.7654570024499998</x:v>
      </x:c>
      <x:c r="I33" s="113" t="n">
        <x:f>I15*'Scenarios'!$C$43*'Scenarios'!$C$47</x:f>
        <x:v>1.0543432923765</x:v>
      </x:c>
      <x:c r="J33" s="113" t="n">
        <x:f>J15*'Scenarios'!$C$43*'Scenarios'!$C$47</x:f>
        <x:v>1.3345629936052046</x:v>
      </x:c>
      <x:c r="K33" s="113" t="n">
        <x:f>K15*'Scenarios'!$C$43*'Scenarios'!$C$47</x:f>
        <x:v>1.6063761037970483</x:v>
      </x:c>
      <x:c r="L33" s="113" t="n">
        <x:f>L15*'Scenarios'!$C$43*'Scenarios'!$C$47</x:f>
        <x:v>1.870034820683137</x:v>
      </x:c>
      <x:c r="M33" s="113" t="n">
        <x:f>M15*'Scenarios'!$C$43*'Scenarios'!$C$47</x:f>
        <x:v>2.125783776062643</x:v>
      </x:c>
      <x:c r="N33" s="113" t="n">
        <x:f>N15*'Scenarios'!$C$43*'Scenarios'!$C$47</x:f>
        <x:v>2.3738602627807635</x:v>
      </x:c>
      <x:c r="O33" s="113" t="n">
        <x:f>O15*'Scenarios'!$C$43*'Scenarios'!$C$47</x:f>
        <x:v>2.614494454897341</x:v>
      </x:c>
      <x:c r="P33" s="113" t="n">
        <x:f>P15*'Scenarios'!$C$43*'Scenarios'!$C$47</x:f>
        <x:v>2.84790962125042</x:v>
      </x:c>
      <x:c r="Q33" s="113" t="n">
        <x:f>Q15*'Scenarios'!$C$43*'Scenarios'!$C$47</x:f>
        <x:v>3.234972332612907</x:v>
      </x:c>
      <x:c r="R33" s="113" t="n">
        <x:f>R15*'Scenarios'!$C$43*'Scenarios'!$C$47</x:f>
        <x:v>3.61042316263452</x:v>
      </x:c>
      <x:c r="S33" s="113" t="n">
        <x:f>S15*'Scenarios'!$C$43*'Scenarios'!$C$47</x:f>
        <x:v>3.9746104677554848</x:v>
      </x:c>
      <x:c r="T33" s="113" t="n">
        <x:f>T15*'Scenarios'!$C$43*'Scenarios'!$C$47</x:f>
        <x:v>4.32787215372282</x:v>
      </x:c>
      <x:c r="U33" s="113" t="n">
        <x:f>U15*'Scenarios'!$C$43*'Scenarios'!$C$47</x:f>
        <x:v>4.670535989111136</x:v>
      </x:c>
      <x:c r="V33" s="113" t="n">
        <x:f>V15*'Scenarios'!$C$43*'Scenarios'!$C$47</x:f>
        <x:v>5.002919909437803</x:v>
      </x:c>
      <x:c r="W33" s="113" t="n">
        <x:f>W15*'Scenarios'!$C$43*'Scenarios'!$C$47</x:f>
        <x:v>5.485982312154668</x:v>
      </x:c>
      <x:c r="X33" s="113" t="n">
        <x:f>X15*'Scenarios'!$C$43*'Scenarios'!$C$47</x:f>
        <x:v>5.954552842790029</x:v>
      </x:c>
      <x:c r="Y33" s="113" t="n">
        <x:f>Y15*'Scenarios'!$C$43*'Scenarios'!$C$47</x:f>
        <x:v>6.409066257506328</x:v>
      </x:c>
      <x:c r="Z33" s="113" t="n">
        <x:f>Z15*'Scenarios'!$C$43*'Scenarios'!$C$47</x:f>
        <x:v>6.849944269781139</x:v>
      </x:c>
      <x:c r="AA33" s="113" t="n">
        <x:f>AA15*'Scenarios'!$C$43*'Scenarios'!$C$47</x:f>
        <x:v>7.277595941687704</x:v>
      </x:c>
      <x:c r="AB33" s="113" t="n">
        <x:f>AB15*'Scenarios'!$C$43*'Scenarios'!$C$47</x:f>
        <x:v>7.692418063437074</x:v>
      </x:c>
      <x:c r="AC33" s="113" t="n">
        <x:f>AC15*'Scenarios'!$C$43*'Scenarios'!$C$47</x:f>
        <x:v>8.17039552153396</x:v>
      </x:c>
      <x:c r="AD33" s="113" t="n">
        <x:f>AD15*'Scenarios'!$C$43*'Scenarios'!$C$47</x:f>
        <x:v>8.634033655887942</x:v>
      </x:c>
      <x:c r="AE33" s="113" t="n">
        <x:f>AE15*'Scenarios'!$C$43*'Scenarios'!$C$47</x:f>
        <x:v>9.083762646211303</x:v>
      </x:c>
      <x:c r="AF33" s="113" t="n">
        <x:f>AF15*'Scenarios'!$C$43*'Scenarios'!$C$47</x:f>
        <x:v>9.519999766824963</x:v>
      </x:c>
      <x:c r="AG33" s="113" t="n">
        <x:f>AG15*'Scenarios'!$C$43*'Scenarios'!$C$47</x:f>
        <x:v>9.943149773820215</x:v>
      </x:c>
      <x:c r="AH33" s="113" t="n">
        <x:f>AH15*'Scenarios'!$C$43*'Scenarios'!$C$47</x:f>
        <x:v>10.353605280605608</x:v>
      </x:c>
      <x:c r="AI33" s="113" t="n">
        <x:f>AI15*'Scenarios'!$C$43*'Scenarios'!$C$47</x:f>
        <x:v>10.75174712218744</x:v>
      </x:c>
      <x:c r="AJ33" s="113" t="n">
        <x:f>AJ15*'Scenarios'!$C$43*'Scenarios'!$C$47</x:f>
        <x:v>11.137944708521815</x:v>
      </x:c>
      <x:c r="AK33" s="113" t="n">
        <x:f>AK15*'Scenarios'!$C$43*'Scenarios'!$C$47</x:f>
        <x:v>11.512556367266162</x:v>
      </x:c>
      <x:c r="AL33" s="113" t="n">
        <x:f>AL15*'Scenarios'!$C$43*'Scenarios'!$C$47</x:f>
        <x:v>11.875929676248179</x:v>
      </x:c>
    </x:row>
    <x:row r="34">
      <x:c r="A34" s="84" t="str">
        <x:v>Scale recurring hours</x:v>
      </x:c>
      <x:c r="B34" s="84" t="str">
        <x:v>hours</x:v>
      </x:c>
      <x:c r="C34" s="113" t="n">
        <x:f>C16*'Scenarios'!$C$44*'Scenarios'!$C$47</x:f>
        <x:v>0</x:v>
      </x:c>
      <x:c r="D34" s="113" t="n">
        <x:f>D16*'Scenarios'!$C$44*'Scenarios'!$C$47</x:f>
        <x:v>0</x:v>
      </x:c>
      <x:c r="E34" s="113" t="n">
        <x:f>E16*'Scenarios'!$C$44*'Scenarios'!$C$47</x:f>
        <x:v>0</x:v>
      </x:c>
      <x:c r="F34" s="113" t="n">
        <x:f>F16*'Scenarios'!$C$44*'Scenarios'!$C$47</x:f>
        <x:v>0</x:v>
      </x:c>
      <x:c r="G34" s="113" t="n">
        <x:f>G16*'Scenarios'!$C$44*'Scenarios'!$C$47</x:f>
        <x:v>0</x:v>
      </x:c>
      <x:c r="H34" s="113" t="n">
        <x:f>H16*'Scenarios'!$C$44*'Scenarios'!$C$47</x:f>
        <x:v>0</x:v>
      </x:c>
      <x:c r="I34" s="113" t="n">
        <x:f>I16*'Scenarios'!$C$44*'Scenarios'!$C$47</x:f>
        <x:v>0</x:v>
      </x:c>
      <x:c r="J34" s="113" t="n">
        <x:f>J16*'Scenarios'!$C$44*'Scenarios'!$C$47</x:f>
        <x:v>0</x:v>
      </x:c>
      <x:c r="K34" s="113" t="n">
        <x:f>K16*'Scenarios'!$C$44*'Scenarios'!$C$47</x:f>
        <x:v>0</x:v>
      </x:c>
      <x:c r="L34" s="113" t="n">
        <x:f>L16*'Scenarios'!$C$44*'Scenarios'!$C$47</x:f>
        <x:v>0</x:v>
      </x:c>
      <x:c r="M34" s="113" t="n">
        <x:f>M16*'Scenarios'!$C$44*'Scenarios'!$C$47</x:f>
        <x:v>0</x:v>
      </x:c>
      <x:c r="N34" s="113" t="n">
        <x:f>N16*'Scenarios'!$C$44*'Scenarios'!$C$47</x:f>
        <x:v>0</x:v>
      </x:c>
      <x:c r="O34" s="113" t="n">
        <x:f>O16*'Scenarios'!$C$44*'Scenarios'!$C$47</x:f>
        <x:v>0</x:v>
      </x:c>
      <x:c r="P34" s="113" t="n">
        <x:f>P16*'Scenarios'!$C$44*'Scenarios'!$C$47</x:f>
        <x:v>0</x:v>
      </x:c>
      <x:c r="Q34" s="113" t="n">
        <x:f>Q16*'Scenarios'!$C$44*'Scenarios'!$C$47</x:f>
        <x:v>0</x:v>
      </x:c>
      <x:c r="R34" s="113" t="n">
        <x:f>R16*'Scenarios'!$C$44*'Scenarios'!$C$47</x:f>
        <x:v>0</x:v>
      </x:c>
      <x:c r="S34" s="113" t="n">
        <x:f>S16*'Scenarios'!$C$44*'Scenarios'!$C$47</x:f>
        <x:v>0</x:v>
      </x:c>
      <x:c r="T34" s="113" t="n">
        <x:f>T16*'Scenarios'!$C$44*'Scenarios'!$C$47</x:f>
        <x:v>0</x:v>
      </x:c>
      <x:c r="U34" s="113" t="n">
        <x:f>U16*'Scenarios'!$C$44*'Scenarios'!$C$47</x:f>
        <x:v>0</x:v>
      </x:c>
      <x:c r="V34" s="113" t="n">
        <x:f>V16*'Scenarios'!$C$44*'Scenarios'!$C$47</x:f>
        <x:v>0</x:v>
      </x:c>
      <x:c r="W34" s="113" t="n">
        <x:f>W16*'Scenarios'!$C$44*'Scenarios'!$C$47</x:f>
        <x:v>0</x:v>
      </x:c>
      <x:c r="X34" s="113" t="n">
        <x:f>X16*'Scenarios'!$C$44*'Scenarios'!$C$47</x:f>
        <x:v>0</x:v>
      </x:c>
      <x:c r="Y34" s="113" t="n">
        <x:f>Y16*'Scenarios'!$C$44*'Scenarios'!$C$47</x:f>
        <x:v>0</x:v>
      </x:c>
      <x:c r="Z34" s="113" t="n">
        <x:f>Z16*'Scenarios'!$C$44*'Scenarios'!$C$47</x:f>
        <x:v>0</x:v>
      </x:c>
      <x:c r="AA34" s="113" t="n">
        <x:f>AA16*'Scenarios'!$C$44*'Scenarios'!$C$47</x:f>
        <x:v>0</x:v>
      </x:c>
      <x:c r="AB34" s="113" t="n">
        <x:f>AB16*'Scenarios'!$C$44*'Scenarios'!$C$47</x:f>
        <x:v>0</x:v>
      </x:c>
      <x:c r="AC34" s="113" t="n">
        <x:f>AC16*'Scenarios'!$C$44*'Scenarios'!$C$47</x:f>
        <x:v>0</x:v>
      </x:c>
      <x:c r="AD34" s="113" t="n">
        <x:f>AD16*'Scenarios'!$C$44*'Scenarios'!$C$47</x:f>
        <x:v>0</x:v>
      </x:c>
      <x:c r="AE34" s="113" t="n">
        <x:f>AE16*'Scenarios'!$C$44*'Scenarios'!$C$47</x:f>
        <x:v>0</x:v>
      </x:c>
      <x:c r="AF34" s="113" t="n">
        <x:f>AF16*'Scenarios'!$C$44*'Scenarios'!$C$47</x:f>
        <x:v>0</x:v>
      </x:c>
      <x:c r="AG34" s="113" t="n">
        <x:f>AG16*'Scenarios'!$C$44*'Scenarios'!$C$47</x:f>
        <x:v>0</x:v>
      </x:c>
      <x:c r="AH34" s="113" t="n">
        <x:f>AH16*'Scenarios'!$C$44*'Scenarios'!$C$47</x:f>
        <x:v>0</x:v>
      </x:c>
      <x:c r="AI34" s="113" t="n">
        <x:f>AI16*'Scenarios'!$C$44*'Scenarios'!$C$47</x:f>
        <x:v>0</x:v>
      </x:c>
      <x:c r="AJ34" s="113" t="n">
        <x:f>AJ16*'Scenarios'!$C$44*'Scenarios'!$C$47</x:f>
        <x:v>0</x:v>
      </x:c>
      <x:c r="AK34" s="113" t="n">
        <x:f>AK16*'Scenarios'!$C$44*'Scenarios'!$C$47</x:f>
        <x:v>0</x:v>
      </x:c>
      <x:c r="AL34" s="113" t="n">
        <x:f>AL16*'Scenarios'!$C$44*'Scenarios'!$C$47</x:f>
        <x:v>0</x:v>
      </x:c>
    </x:row>
    <x:row r="35">
      <x:c r="A35" s="84" t="str">
        <x:v>Expansion hours</x:v>
      </x:c>
      <x:c r="B35" s="84" t="str">
        <x:v>hours</x:v>
      </x:c>
      <x:c r="C35" s="113" t="n">
        <x:f>C17*'Scenarios'!$C$45*'Scenarios'!$C$47</x:f>
        <x:v>0</x:v>
      </x:c>
      <x:c r="D35" s="113" t="n">
        <x:f>D17*'Scenarios'!$C$45*'Scenarios'!$C$47</x:f>
        <x:v>0</x:v>
      </x:c>
      <x:c r="E35" s="113" t="n">
        <x:f>E17*'Scenarios'!$C$45*'Scenarios'!$C$47</x:f>
        <x:v>0.00520625</x:v>
      </x:c>
      <x:c r="F35" s="113" t="n">
        <x:f>F17*'Scenarios'!$C$45*'Scenarios'!$C$47</x:f>
        <x:v>0.010256312499999998</x:v>
      </x:c>
      <x:c r="G35" s="113" t="n">
        <x:f>G17*'Scenarios'!$C$45*'Scenarios'!$C$47</x:f>
        <x:v>0.015154873124999997</x:v>
      </x:c>
      <x:c r="H35" s="113" t="n">
        <x:f>H17*'Scenarios'!$C$45*'Scenarios'!$C$47</x:f>
        <x:v>0.024806476931249998</x:v>
      </x:c>
      <x:c r="I35" s="113" t="n">
        <x:f>I17*'Scenarios'!$C$45*'Scenarios'!$C$47</x:f>
        <x:v>0.0341685326233125</x:v>
      </x:c>
      <x:c r="J35" s="113" t="n">
        <x:f>J17*'Scenarios'!$C$45*'Scenarios'!$C$47</x:f>
        <x:v>0.04324972664461312</x:v>
      </x:c>
      <x:c r="K35" s="113" t="n">
        <x:f>K17*'Scenarios'!$C$45*'Scenarios'!$C$47</x:f>
        <x:v>0.05205848484527472</x:v>
      </x:c>
      <x:c r="L35" s="113" t="n">
        <x:f>L17*'Scenarios'!$C$45*'Scenarios'!$C$47</x:f>
        <x:v>0.06060298029991649</x:v>
      </x:c>
      <x:c r="M35" s="113" t="n">
        <x:f>M17*'Scenarios'!$C$45*'Scenarios'!$C$47</x:f>
        <x:v>0.06889114089091898</x:v>
      </x:c>
      <x:c r="N35" s="113" t="n">
        <x:f>N17*'Scenarios'!$C$45*'Scenarios'!$C$47</x:f>
        <x:v>0.07693065666419141</x:v>
      </x:c>
      <x:c r="O35" s="113" t="n">
        <x:f>O17*'Scenarios'!$C$45*'Scenarios'!$C$47</x:f>
        <x:v>0.08472898696426567</x:v>
      </x:c>
      <x:c r="P35" s="113" t="n">
        <x:f>P17*'Scenarios'!$C$45*'Scenarios'!$C$47</x:f>
        <x:v>0.09229336735533769</x:v>
      </x:c>
      <x:c r="Q35" s="113" t="n">
        <x:f>Q17*'Scenarios'!$C$45*'Scenarios'!$C$47</x:f>
        <x:v>0.10483706633467756</x:v>
      </x:c>
      <x:c r="R35" s="113" t="n">
        <x:f>R17*'Scenarios'!$C$45*'Scenarios'!$C$47</x:f>
        <x:v>0.11700445434463724</x:v>
      </x:c>
      <x:c r="S35" s="113" t="n">
        <x:f>S17*'Scenarios'!$C$45*'Scenarios'!$C$47</x:f>
        <x:v>0.12880682071429814</x:v>
      </x:c>
      <x:c r="T35" s="113" t="n">
        <x:f>T17*'Scenarios'!$C$45*'Scenarios'!$C$47</x:f>
        <x:v>0.1402551160928692</x:v>
      </x:c>
      <x:c r="U35" s="113" t="n">
        <x:f>U17*'Scenarios'!$C$45*'Scenarios'!$C$47</x:f>
        <x:v>0.1513599626100831</x:v>
      </x:c>
      <x:c r="V35" s="113" t="n">
        <x:f>V17*'Scenarios'!$C$45*'Scenarios'!$C$47</x:f>
        <x:v>0.16213166373178065</x:v>
      </x:c>
      <x:c r="W35" s="113" t="n">
        <x:f>W17*'Scenarios'!$C$45*'Scenarios'!$C$47</x:f>
        <x:v>0.1777864638198272</x:v>
      </x:c>
      <x:c r="X35" s="113" t="n">
        <x:f>X17*'Scenarios'!$C$45*'Scenarios'!$C$47</x:f>
        <x:v>0.1929716199052324</x:v>
      </x:c>
      <x:c r="Y35" s="113" t="n">
        <x:f>Y17*'Scenarios'!$C$45*'Scenarios'!$C$47</x:f>
        <x:v>0.20770122130807547</x:v>
      </x:c>
      <x:c r="Z35" s="113" t="n">
        <x:f>Z17*'Scenarios'!$C$45*'Scenarios'!$C$47</x:f>
        <x:v>0.22198893466883318</x:v>
      </x:c>
      <x:c r="AA35" s="113" t="n">
        <x:f>AA17*'Scenarios'!$C$45*'Scenarios'!$C$47</x:f>
        <x:v>0.2358480166287682</x:v>
      </x:c>
      <x:c r="AB35" s="113" t="n">
        <x:f>AB17*'Scenarios'!$C$45*'Scenarios'!$C$47</x:f>
        <x:v>0.24929132612990512</x:v>
      </x:c>
      <x:c r="AC35" s="113" t="n">
        <x:f>AC17*'Scenarios'!$C$45*'Scenarios'!$C$47</x:f>
        <x:v>0.264781336346008</x:v>
      </x:c>
      <x:c r="AD35" s="113" t="n">
        <x:f>AD17*'Scenarios'!$C$45*'Scenarios'!$C$47</x:f>
        <x:v>0.2798066462556278</x:v>
      </x:c>
      <x:c r="AE35" s="113" t="n">
        <x:f>AE17*'Scenarios'!$C$45*'Scenarios'!$C$47</x:f>
        <x:v>0.294381196867959</x:v>
      </x:c>
      <x:c r="AF35" s="113" t="n">
        <x:f>AF17*'Scenarios'!$C$45*'Scenarios'!$C$47</x:f>
        <x:v>0.3085185109619201</x:v>
      </x:c>
      <x:c r="AG35" s="113" t="n">
        <x:f>AG17*'Scenarios'!$C$45*'Scenarios'!$C$47</x:f>
        <x:v>0.3222317056330625</x:v>
      </x:c>
      <x:c r="AH35" s="113" t="n">
        <x:f>AH17*'Scenarios'!$C$45*'Scenarios'!$C$47</x:f>
        <x:v>0.33553350446407065</x:v>
      </x:c>
      <x:c r="AI35" s="113" t="n">
        <x:f>AI17*'Scenarios'!$C$45*'Scenarios'!$C$47</x:f>
        <x:v>0.3484362493301485</x:v>
      </x:c>
      <x:c r="AJ35" s="113" t="n">
        <x:f>AJ17*'Scenarios'!$C$45*'Scenarios'!$C$47</x:f>
        <x:v>0.36095191185024406</x:v>
      </x:c>
      <x:c r="AK35" s="113" t="n">
        <x:f>AK17*'Scenarios'!$C$45*'Scenarios'!$C$47</x:f>
        <x:v>0.37309210449473673</x:v>
      </x:c>
      <x:c r="AL35" s="113" t="n">
        <x:f>AL17*'Scenarios'!$C$45*'Scenarios'!$C$47</x:f>
        <x:v>0.38486809135989475</x:v>
      </x:c>
    </x:row>
    <x:row r="36">
      <x:c r="A36" s="84" t="str">
        <x:v>Enablement hours</x:v>
      </x:c>
      <x:c r="B36" s="84" t="str">
        <x:v>hours</x:v>
      </x:c>
      <x:c r="C36" s="113" t="n">
        <x:f>C18*'Scenarios'!$C$46*'Scenarios'!$C$47</x:f>
        <x:v>0</x:v>
      </x:c>
      <x:c r="D36" s="113" t="n">
        <x:f>D18*'Scenarios'!$C$46*'Scenarios'!$C$47</x:f>
        <x:v>0</x:v>
      </x:c>
      <x:c r="E36" s="113" t="n">
        <x:f>E18*'Scenarios'!$C$46*'Scenarios'!$C$47</x:f>
        <x:v>0</x:v>
      </x:c>
      <x:c r="F36" s="113" t="n">
        <x:f>F18*'Scenarios'!$C$46*'Scenarios'!$C$47</x:f>
        <x:v>0</x:v>
      </x:c>
      <x:c r="G36" s="113" t="n">
        <x:f>G18*'Scenarios'!$C$46*'Scenarios'!$C$47</x:f>
        <x:v>0</x:v>
      </x:c>
      <x:c r="H36" s="113" t="n">
        <x:f>H18*'Scenarios'!$C$46*'Scenarios'!$C$47</x:f>
        <x:v>0</x:v>
      </x:c>
      <x:c r="I36" s="113" t="n">
        <x:f>I18*'Scenarios'!$C$46*'Scenarios'!$C$47</x:f>
        <x:v>0</x:v>
      </x:c>
      <x:c r="J36" s="113" t="n">
        <x:f>J18*'Scenarios'!$C$46*'Scenarios'!$C$47</x:f>
        <x:v>0</x:v>
      </x:c>
      <x:c r="K36" s="113" t="n">
        <x:f>K18*'Scenarios'!$C$46*'Scenarios'!$C$47</x:f>
        <x:v>0</x:v>
      </x:c>
      <x:c r="L36" s="113" t="n">
        <x:f>L18*'Scenarios'!$C$46*'Scenarios'!$C$47</x:f>
        <x:v>0</x:v>
      </x:c>
      <x:c r="M36" s="113" t="n">
        <x:f>M18*'Scenarios'!$C$46*'Scenarios'!$C$47</x:f>
        <x:v>0</x:v>
      </x:c>
      <x:c r="N36" s="113" t="n">
        <x:f>N18*'Scenarios'!$C$46*'Scenarios'!$C$47</x:f>
        <x:v>0</x:v>
      </x:c>
      <x:c r="O36" s="113" t="n">
        <x:f>O18*'Scenarios'!$C$46*'Scenarios'!$C$47</x:f>
        <x:v>0</x:v>
      </x:c>
      <x:c r="P36" s="113" t="n">
        <x:f>P18*'Scenarios'!$C$46*'Scenarios'!$C$47</x:f>
        <x:v>0</x:v>
      </x:c>
      <x:c r="Q36" s="113" t="n">
        <x:f>Q18*'Scenarios'!$C$46*'Scenarios'!$C$47</x:f>
        <x:v>0</x:v>
      </x:c>
      <x:c r="R36" s="113" t="n">
        <x:f>R18*'Scenarios'!$C$46*'Scenarios'!$C$47</x:f>
        <x:v>0</x:v>
      </x:c>
      <x:c r="S36" s="113" t="n">
        <x:f>S18*'Scenarios'!$C$46*'Scenarios'!$C$47</x:f>
        <x:v>0</x:v>
      </x:c>
      <x:c r="T36" s="113" t="n">
        <x:f>T18*'Scenarios'!$C$46*'Scenarios'!$C$47</x:f>
        <x:v>0</x:v>
      </x:c>
      <x:c r="U36" s="113" t="n">
        <x:f>U18*'Scenarios'!$C$46*'Scenarios'!$C$47</x:f>
        <x:v>0</x:v>
      </x:c>
      <x:c r="V36" s="113" t="n">
        <x:f>V18*'Scenarios'!$C$46*'Scenarios'!$C$47</x:f>
        <x:v>0</x:v>
      </x:c>
      <x:c r="W36" s="113" t="n">
        <x:f>W18*'Scenarios'!$C$46*'Scenarios'!$C$47</x:f>
        <x:v>0</x:v>
      </x:c>
      <x:c r="X36" s="113" t="n">
        <x:f>X18*'Scenarios'!$C$46*'Scenarios'!$C$47</x:f>
        <x:v>0</x:v>
      </x:c>
      <x:c r="Y36" s="113" t="n">
        <x:f>Y18*'Scenarios'!$C$46*'Scenarios'!$C$47</x:f>
        <x:v>0</x:v>
      </x:c>
      <x:c r="Z36" s="113" t="n">
        <x:f>Z18*'Scenarios'!$C$46*'Scenarios'!$C$47</x:f>
        <x:v>0</x:v>
      </x:c>
      <x:c r="AA36" s="113" t="n">
        <x:f>AA18*'Scenarios'!$C$46*'Scenarios'!$C$47</x:f>
        <x:v>0</x:v>
      </x:c>
      <x:c r="AB36" s="113" t="n">
        <x:f>AB18*'Scenarios'!$C$46*'Scenarios'!$C$47</x:f>
        <x:v>0</x:v>
      </x:c>
      <x:c r="AC36" s="113" t="n">
        <x:f>AC18*'Scenarios'!$C$46*'Scenarios'!$C$47</x:f>
        <x:v>0</x:v>
      </x:c>
      <x:c r="AD36" s="113" t="n">
        <x:f>AD18*'Scenarios'!$C$46*'Scenarios'!$C$47</x:f>
        <x:v>0</x:v>
      </x:c>
      <x:c r="AE36" s="113" t="n">
        <x:f>AE18*'Scenarios'!$C$46*'Scenarios'!$C$47</x:f>
        <x:v>0</x:v>
      </x:c>
      <x:c r="AF36" s="113" t="n">
        <x:f>AF18*'Scenarios'!$C$46*'Scenarios'!$C$47</x:f>
        <x:v>0</x:v>
      </x:c>
      <x:c r="AG36" s="113" t="n">
        <x:f>AG18*'Scenarios'!$C$46*'Scenarios'!$C$47</x:f>
        <x:v>0</x:v>
      </x:c>
      <x:c r="AH36" s="113" t="n">
        <x:f>AH18*'Scenarios'!$C$46*'Scenarios'!$C$47</x:f>
        <x:v>0</x:v>
      </x:c>
      <x:c r="AI36" s="113" t="n">
        <x:f>AI18*'Scenarios'!$C$46*'Scenarios'!$C$47</x:f>
        <x:v>0</x:v>
      </x:c>
      <x:c r="AJ36" s="113" t="n">
        <x:f>AJ18*'Scenarios'!$C$46*'Scenarios'!$C$47</x:f>
        <x:v>0</x:v>
      </x:c>
      <x:c r="AK36" s="113" t="n">
        <x:f>AK18*'Scenarios'!$C$46*'Scenarios'!$C$47</x:f>
        <x:v>0</x:v>
      </x:c>
      <x:c r="AL36" s="113" t="n">
        <x:f>AL18*'Scenarios'!$C$46*'Scenarios'!$C$47</x:f>
        <x:v>0</x:v>
      </x:c>
    </x:row>
    <x:row r="37">
      <x:c r="A37" s="84" t="str">
        <x:v>Total delivery hours</x:v>
      </x:c>
      <x:c r="B37" s="84" t="str">
        <x:v>hours</x:v>
      </x:c>
      <x:c r="C37" s="113" t="n">
        <x:f>SUM(C30:C36)</x:f>
        <x:v>2.04</x:v>
      </x:c>
      <x:c r="D37" s="113" t="n">
        <x:f>SUM(D30:D36)</x:f>
        <x:v>5.609999999999999</x:v>
      </x:c>
      <x:c r="E37" s="113" t="n">
        <x:f>SUM(E30:E36)</x:f>
        <x:v>5.9882712499999995</x:v>
      </x:c>
      <x:c r="F37" s="113" t="n">
        <x:f>SUM(F30:F36)</x:f>
        <x:v>8.275194362499999</x:v>
      </x:c>
      <x:c r="G37" s="113" t="n">
        <x:f>SUM(G30:G36)</x:f>
        <x:v>11.991109781625</x:v>
      </x:c>
      <x:c r="H37" s="113" t="n">
        <x:f>SUM(H30:H36)</x:f>
        <x:v>12.692367738176248</x:v>
      </x:c>
      <x:c r="I37" s="113" t="n">
        <x:f>SUM(I30:I36)</x:f>
        <x:v>13.37258795603096</x:v>
      </x:c>
      <x:c r="J37" s="113" t="n">
        <x:f>SUM(J30:J36)</x:f>
        <x:v>14.032401567350032</x:v>
      </x:c>
      <x:c r="K37" s="113" t="n">
        <x:f>SUM(K30:K36)</x:f>
        <x:v>14.672420770329529</x:v>
      </x:c>
      <x:c r="L37" s="113" t="n">
        <x:f>SUM(L30:L36)</x:f>
        <x:v>15.293239397219645</x:v>
      </x:c>
      <x:c r="M37" s="113" t="n">
        <x:f>SUM(M30:M36)</x:f>
        <x:v>15.895433465303054</x:v>
      </x:c>
      <x:c r="N37" s="113" t="n">
        <x:f>SUM(N30:N36)</x:f>
        <x:v>16.479561711343965</x:v>
      </x:c>
      <x:c r="O37" s="113" t="n">
        <x:f>SUM(O30:O36)</x:f>
        <x:v>19.086166110003646</x:v>
      </x:c>
      <x:c r="P37" s="113" t="n">
        <x:f>SUM(P30:P36)</x:f>
        <x:v>23.205772376703536</x:v>
      </x:c>
      <x:c r="Q37" s="113" t="n">
        <x:f>SUM(Q30:Q36)</x:f>
        <x:v>24.117161705402427</x:v>
      </x:c>
      <x:c r="R37" s="113" t="n">
        <x:f>SUM(R30:R36)</x:f>
        <x:v>25.00120935424036</x:v>
      </x:c>
      <x:c r="S37" s="113" t="n">
        <x:f>SUM(S30:S36)</x:f>
        <x:v>25.85873557361315</x:v>
      </x:c>
      <x:c r="T37" s="113" t="n">
        <x:f>SUM(T30:T36)</x:f>
        <x:v>26.690536006404752</x:v>
      </x:c>
      <x:c r="U37" s="113" t="n">
        <x:f>SUM(U30:U36)</x:f>
        <x:v>29.53738242621261</x:v>
      </x:c>
      <x:c r="V37" s="113" t="n">
        <x:f>SUM(V30:V36)</x:f>
        <x:v>33.89002345342623</x:v>
      </x:c>
      <x:c r="W37" s="113" t="n">
        <x:f>SUM(W30:W36)</x:f>
        <x:v>35.027456499823444</x:v>
      </x:c>
      <x:c r="X37" s="113" t="n">
        <x:f>SUM(X30:X36)</x:f>
        <x:v>36.13076655482874</x:v>
      </x:c>
      <x:c r="Y37" s="113" t="n">
        <x:f>SUM(Y30:Y36)</x:f>
        <x:v>37.20097730818389</x:v>
      </x:c>
      <x:c r="Z37" s="113" t="n">
        <x:f>SUM(Z30:Z36)</x:f>
        <x:v>38.23908173893837</x:v>
      </x:c>
      <x:c r="AA37" s="113" t="n">
        <x:f>SUM(AA30:AA36)</x:f>
        <x:v>40.20604303677021</x:v>
      </x:c>
      <x:c r="AB37" s="113" t="n">
        <x:f>SUM(AB30:AB36)</x:f>
        <x:v>42.86279549566711</x:v>
      </x:c>
      <x:c r="AC37" s="113" t="n">
        <x:f>SUM(AC30:AC36)</x:f>
        <x:v>43.988255380797085</x:v>
      </x:c>
      <x:c r="AD37" s="113" t="n">
        <x:f>SUM(AD30:AD36)</x:f>
        <x:v>45.07995146937318</x:v>
      </x:c>
      <x:c r="AE37" s="113" t="n">
        <x:f>SUM(AE30:AE36)</x:f>
        <x:v>46.13889667529198</x:v>
      </x:c>
      <x:c r="AF37" s="113" t="n">
        <x:f>SUM(AF30:AF36)</x:f>
        <x:v>47.16607352503321</x:v>
      </x:c>
      <x:c r="AG37" s="113" t="n">
        <x:f>SUM(AG30:AG36)</x:f>
        <x:v>48.162435069282225</x:v>
      </x:c>
      <x:c r="AH37" s="113" t="n">
        <x:f>SUM(AH30:AH36)</x:f>
        <x:v>49.128905767203754</x:v>
      </x:c>
      <x:c r="AI37" s="113" t="n">
        <x:f>SUM(AI30:AI36)</x:f>
        <x:v>50.066382344187645</x:v>
      </x:c>
      <x:c r="AJ37" s="113" t="n">
        <x:f>SUM(AJ30:AJ36)</x:f>
        <x:v>50.97573462386201</x:v>
      </x:c>
      <x:c r="AK37" s="113" t="n">
        <x:f>SUM(AK30:AK36)</x:f>
        <x:v>51.85780633514616</x:v>
      </x:c>
      <x:c r="AL37" s="113" t="n">
        <x:f>SUM(AL30:AL36)</x:f>
        <x:v>52.71341589509177</x:v>
      </x:c>
    </x:row>
    <x:row r="38">
      <x:c r="A38" s="84" t="str">
        <x:v>Founder delivery capacity</x:v>
      </x:c>
      <x:c r="B38" s="84" t="str">
        <x:v>hours</x:v>
      </x:c>
      <x:c r="C38" s="113" t="n">
        <x:f>'Scenarios'!$C$31*52/12*'Scenarios'!$C$32</x:f>
        <x:v>52</x:v>
      </x:c>
      <x:c r="D38" s="113" t="n">
        <x:f>'Scenarios'!$C$31*52/12*'Scenarios'!$C$32</x:f>
        <x:v>52</x:v>
      </x:c>
      <x:c r="E38" s="113" t="n">
        <x:f>'Scenarios'!$C$31*52/12*'Scenarios'!$C$32</x:f>
        <x:v>52</x:v>
      </x:c>
      <x:c r="F38" s="113" t="n">
        <x:f>'Scenarios'!$C$31*52/12*'Scenarios'!$C$32</x:f>
        <x:v>52</x:v>
      </x:c>
      <x:c r="G38" s="113" t="n">
        <x:f>'Scenarios'!$C$31*52/12*'Scenarios'!$C$32</x:f>
        <x:v>52</x:v>
      </x:c>
      <x:c r="H38" s="113" t="n">
        <x:f>'Scenarios'!$C$31*52/12*'Scenarios'!$C$32</x:f>
        <x:v>52</x:v>
      </x:c>
      <x:c r="I38" s="113" t="n">
        <x:f>'Scenarios'!$C$31*52/12*'Scenarios'!$C$32</x:f>
        <x:v>52</x:v>
      </x:c>
      <x:c r="J38" s="113" t="n">
        <x:f>'Scenarios'!$C$31*52/12*'Scenarios'!$C$32</x:f>
        <x:v>52</x:v>
      </x:c>
      <x:c r="K38" s="113" t="n">
        <x:f>'Scenarios'!$C$31*52/12*'Scenarios'!$C$32</x:f>
        <x:v>52</x:v>
      </x:c>
      <x:c r="L38" s="113" t="n">
        <x:f>'Scenarios'!$C$31*52/12*'Scenarios'!$C$32</x:f>
        <x:v>52</x:v>
      </x:c>
      <x:c r="M38" s="113" t="n">
        <x:f>'Scenarios'!$C$31*52/12*'Scenarios'!$C$32</x:f>
        <x:v>52</x:v>
      </x:c>
      <x:c r="N38" s="113" t="n">
        <x:f>'Scenarios'!$C$31*52/12*'Scenarios'!$C$32</x:f>
        <x:v>52</x:v>
      </x:c>
      <x:c r="O38" s="113" t="n">
        <x:f>'Scenarios'!$C$31*52/12*'Scenarios'!$C$32</x:f>
        <x:v>52</x:v>
      </x:c>
      <x:c r="P38" s="113" t="n">
        <x:f>'Scenarios'!$C$31*52/12*'Scenarios'!$C$32</x:f>
        <x:v>52</x:v>
      </x:c>
      <x:c r="Q38" s="113" t="n">
        <x:f>'Scenarios'!$C$31*52/12*'Scenarios'!$C$32</x:f>
        <x:v>52</x:v>
      </x:c>
      <x:c r="R38" s="113" t="n">
        <x:f>'Scenarios'!$C$31*52/12*'Scenarios'!$C$32</x:f>
        <x:v>52</x:v>
      </x:c>
      <x:c r="S38" s="113" t="n">
        <x:f>'Scenarios'!$C$31*52/12*'Scenarios'!$C$32</x:f>
        <x:v>52</x:v>
      </x:c>
      <x:c r="T38" s="113" t="n">
        <x:f>'Scenarios'!$C$31*52/12*'Scenarios'!$C$32</x:f>
        <x:v>52</x:v>
      </x:c>
      <x:c r="U38" s="113" t="n">
        <x:f>'Scenarios'!$C$31*52/12*'Scenarios'!$C$32</x:f>
        <x:v>52</x:v>
      </x:c>
      <x:c r="V38" s="113" t="n">
        <x:f>'Scenarios'!$C$31*52/12*'Scenarios'!$C$32</x:f>
        <x:v>52</x:v>
      </x:c>
      <x:c r="W38" s="113" t="n">
        <x:f>'Scenarios'!$C$31*52/12*'Scenarios'!$C$32</x:f>
        <x:v>52</x:v>
      </x:c>
      <x:c r="X38" s="113" t="n">
        <x:f>'Scenarios'!$C$31*52/12*'Scenarios'!$C$32</x:f>
        <x:v>52</x:v>
      </x:c>
      <x:c r="Y38" s="113" t="n">
        <x:f>'Scenarios'!$C$31*52/12*'Scenarios'!$C$32</x:f>
        <x:v>52</x:v>
      </x:c>
      <x:c r="Z38" s="113" t="n">
        <x:f>'Scenarios'!$C$31*52/12*'Scenarios'!$C$32</x:f>
        <x:v>52</x:v>
      </x:c>
      <x:c r="AA38" s="113" t="n">
        <x:f>'Scenarios'!$C$31*52/12*'Scenarios'!$C$32</x:f>
        <x:v>52</x:v>
      </x:c>
      <x:c r="AB38" s="113" t="n">
        <x:f>'Scenarios'!$C$31*52/12*'Scenarios'!$C$32</x:f>
        <x:v>52</x:v>
      </x:c>
      <x:c r="AC38" s="113" t="n">
        <x:f>'Scenarios'!$C$31*52/12*'Scenarios'!$C$32</x:f>
        <x:v>52</x:v>
      </x:c>
      <x:c r="AD38" s="113" t="n">
        <x:f>'Scenarios'!$C$31*52/12*'Scenarios'!$C$32</x:f>
        <x:v>52</x:v>
      </x:c>
      <x:c r="AE38" s="113" t="n">
        <x:f>'Scenarios'!$C$31*52/12*'Scenarios'!$C$32</x:f>
        <x:v>52</x:v>
      </x:c>
      <x:c r="AF38" s="113" t="n">
        <x:f>'Scenarios'!$C$31*52/12*'Scenarios'!$C$32</x:f>
        <x:v>52</x:v>
      </x:c>
      <x:c r="AG38" s="113" t="n">
        <x:f>'Scenarios'!$C$31*52/12*'Scenarios'!$C$32</x:f>
        <x:v>52</x:v>
      </x:c>
      <x:c r="AH38" s="113" t="n">
        <x:f>'Scenarios'!$C$31*52/12*'Scenarios'!$C$32</x:f>
        <x:v>52</x:v>
      </x:c>
      <x:c r="AI38" s="113" t="n">
        <x:f>'Scenarios'!$C$31*52/12*'Scenarios'!$C$32</x:f>
        <x:v>52</x:v>
      </x:c>
      <x:c r="AJ38" s="113" t="n">
        <x:f>'Scenarios'!$C$31*52/12*'Scenarios'!$C$32</x:f>
        <x:v>52</x:v>
      </x:c>
      <x:c r="AK38" s="113" t="n">
        <x:f>'Scenarios'!$C$31*52/12*'Scenarios'!$C$32</x:f>
        <x:v>52</x:v>
      </x:c>
      <x:c r="AL38" s="113" t="n">
        <x:f>'Scenarios'!$C$31*52/12*'Scenarios'!$C$32</x:f>
        <x:v>52</x:v>
      </x:c>
    </x:row>
    <x:row r="39">
      <x:c r="A39" s="84" t="str">
        <x:v>Founder delivery hours used</x:v>
      </x:c>
      <x:c r="B39" s="84" t="str">
        <x:v>hours</x:v>
      </x:c>
      <x:c r="C39" s="113" t="n">
        <x:f>MIN(C37,C38)</x:f>
        <x:v>2.04</x:v>
      </x:c>
      <x:c r="D39" s="113" t="n">
        <x:f>MIN(D37,D38)</x:f>
        <x:v>5.609999999999999</x:v>
      </x:c>
      <x:c r="E39" s="113" t="n">
        <x:f>MIN(E37,E38)</x:f>
        <x:v>5.9882712499999995</x:v>
      </x:c>
      <x:c r="F39" s="113" t="n">
        <x:f>MIN(F37,F38)</x:f>
        <x:v>8.275194362499999</x:v>
      </x:c>
      <x:c r="G39" s="113" t="n">
        <x:f>MIN(G37,G38)</x:f>
        <x:v>11.991109781625</x:v>
      </x:c>
      <x:c r="H39" s="113" t="n">
        <x:f>MIN(H37,H38)</x:f>
        <x:v>12.692367738176248</x:v>
      </x:c>
      <x:c r="I39" s="113" t="n">
        <x:f>MIN(I37,I38)</x:f>
        <x:v>13.37258795603096</x:v>
      </x:c>
      <x:c r="J39" s="113" t="n">
        <x:f>MIN(J37,J38)</x:f>
        <x:v>14.032401567350032</x:v>
      </x:c>
      <x:c r="K39" s="113" t="n">
        <x:f>MIN(K37,K38)</x:f>
        <x:v>14.672420770329529</x:v>
      </x:c>
      <x:c r="L39" s="113" t="n">
        <x:f>MIN(L37,L38)</x:f>
        <x:v>15.293239397219645</x:v>
      </x:c>
      <x:c r="M39" s="113" t="n">
        <x:f>MIN(M37,M38)</x:f>
        <x:v>15.895433465303054</x:v>
      </x:c>
      <x:c r="N39" s="113" t="n">
        <x:f>MIN(N37,N38)</x:f>
        <x:v>16.479561711343965</x:v>
      </x:c>
      <x:c r="O39" s="113" t="n">
        <x:f>MIN(O37,O38)</x:f>
        <x:v>19.086166110003646</x:v>
      </x:c>
      <x:c r="P39" s="113" t="n">
        <x:f>MIN(P37,P38)</x:f>
        <x:v>23.205772376703536</x:v>
      </x:c>
      <x:c r="Q39" s="113" t="n">
        <x:f>MIN(Q37,Q38)</x:f>
        <x:v>24.117161705402427</x:v>
      </x:c>
      <x:c r="R39" s="113" t="n">
        <x:f>MIN(R37,R38)</x:f>
        <x:v>25.00120935424036</x:v>
      </x:c>
      <x:c r="S39" s="113" t="n">
        <x:f>MIN(S37,S38)</x:f>
        <x:v>25.85873557361315</x:v>
      </x:c>
      <x:c r="T39" s="113" t="n">
        <x:f>MIN(T37,T38)</x:f>
        <x:v>26.690536006404752</x:v>
      </x:c>
      <x:c r="U39" s="113" t="n">
        <x:f>MIN(U37,U38)</x:f>
        <x:v>29.53738242621261</x:v>
      </x:c>
      <x:c r="V39" s="113" t="n">
        <x:f>MIN(V37,V38)</x:f>
        <x:v>33.89002345342623</x:v>
      </x:c>
      <x:c r="W39" s="113" t="n">
        <x:f>MIN(W37,W38)</x:f>
        <x:v>35.027456499823444</x:v>
      </x:c>
      <x:c r="X39" s="113" t="n">
        <x:f>MIN(X37,X38)</x:f>
        <x:v>36.13076655482874</x:v>
      </x:c>
      <x:c r="Y39" s="113" t="n">
        <x:f>MIN(Y37,Y38)</x:f>
        <x:v>37.20097730818389</x:v>
      </x:c>
      <x:c r="Z39" s="113" t="n">
        <x:f>MIN(Z37,Z38)</x:f>
        <x:v>38.23908173893837</x:v>
      </x:c>
      <x:c r="AA39" s="113" t="n">
        <x:f>MIN(AA37,AA38)</x:f>
        <x:v>40.20604303677021</x:v>
      </x:c>
      <x:c r="AB39" s="113" t="n">
        <x:f>MIN(AB37,AB38)</x:f>
        <x:v>42.86279549566711</x:v>
      </x:c>
      <x:c r="AC39" s="113" t="n">
        <x:f>MIN(AC37,AC38)</x:f>
        <x:v>43.988255380797085</x:v>
      </x:c>
      <x:c r="AD39" s="113" t="n">
        <x:f>MIN(AD37,AD38)</x:f>
        <x:v>45.07995146937318</x:v>
      </x:c>
      <x:c r="AE39" s="113" t="n">
        <x:f>MIN(AE37,AE38)</x:f>
        <x:v>46.13889667529198</x:v>
      </x:c>
      <x:c r="AF39" s="113" t="n">
        <x:f>MIN(AF37,AF38)</x:f>
        <x:v>47.16607352503321</x:v>
      </x:c>
      <x:c r="AG39" s="113" t="n">
        <x:f>MIN(AG37,AG38)</x:f>
        <x:v>48.162435069282225</x:v>
      </x:c>
      <x:c r="AH39" s="113" t="n">
        <x:f>MIN(AH37,AH38)</x:f>
        <x:v>49.128905767203754</x:v>
      </x:c>
      <x:c r="AI39" s="113" t="n">
        <x:f>MIN(AI37,AI38)</x:f>
        <x:v>50.066382344187645</x:v>
      </x:c>
      <x:c r="AJ39" s="113" t="n">
        <x:f>MIN(AJ37,AJ38)</x:f>
        <x:v>50.97573462386201</x:v>
      </x:c>
      <x:c r="AK39" s="113" t="n">
        <x:f>MIN(AK37,AK38)</x:f>
        <x:v>51.85780633514616</x:v>
      </x:c>
      <x:c r="AL39" s="113" t="n">
        <x:f>MIN(AL37,AL38)</x:f>
        <x:v>52</x:v>
      </x:c>
    </x:row>
    <x:row r="40">
      <x:c r="A40" s="84" t="str">
        <x:v>Core contractor capacity</x:v>
      </x:c>
      <x:c r="B40" s="84" t="str">
        <x:v>hours</x:v>
      </x:c>
      <x:c r="C40" s="113" t="n">
        <x:f>IF(C6&gt;='Scenarios'!$C$36,'Scenarios'!$C$37,0)</x:f>
        <x:v>0</x:v>
      </x:c>
      <x:c r="D40" s="113" t="n">
        <x:f>IF(D6&gt;='Scenarios'!$C$36,'Scenarios'!$C$37,0)</x:f>
        <x:v>0</x:v>
      </x:c>
      <x:c r="E40" s="113" t="n">
        <x:f>IF(E6&gt;='Scenarios'!$C$36,'Scenarios'!$C$37,0)</x:f>
        <x:v>0</x:v>
      </x:c>
      <x:c r="F40" s="113" t="n">
        <x:f>IF(F6&gt;='Scenarios'!$C$36,'Scenarios'!$C$37,0)</x:f>
        <x:v>0</x:v>
      </x:c>
      <x:c r="G40" s="113" t="n">
        <x:f>IF(G6&gt;='Scenarios'!$C$36,'Scenarios'!$C$37,0)</x:f>
        <x:v>0</x:v>
      </x:c>
      <x:c r="H40" s="113" t="n">
        <x:f>IF(H6&gt;='Scenarios'!$C$36,'Scenarios'!$C$37,0)</x:f>
        <x:v>0</x:v>
      </x:c>
      <x:c r="I40" s="113" t="n">
        <x:f>IF(I6&gt;='Scenarios'!$C$36,'Scenarios'!$C$37,0)</x:f>
        <x:v>0</x:v>
      </x:c>
      <x:c r="J40" s="113" t="n">
        <x:f>IF(J6&gt;='Scenarios'!$C$36,'Scenarios'!$C$37,0)</x:f>
        <x:v>0</x:v>
      </x:c>
      <x:c r="K40" s="113" t="n">
        <x:f>IF(K6&gt;='Scenarios'!$C$36,'Scenarios'!$C$37,0)</x:f>
        <x:v>0</x:v>
      </x:c>
      <x:c r="L40" s="113" t="n">
        <x:f>IF(L6&gt;='Scenarios'!$C$36,'Scenarios'!$C$37,0)</x:f>
        <x:v>0</x:v>
      </x:c>
      <x:c r="M40" s="113" t="n">
        <x:f>IF(M6&gt;='Scenarios'!$C$36,'Scenarios'!$C$37,0)</x:f>
        <x:v>0</x:v>
      </x:c>
      <x:c r="N40" s="113" t="n">
        <x:f>IF(N6&gt;='Scenarios'!$C$36,'Scenarios'!$C$37,0)</x:f>
        <x:v>0</x:v>
      </x:c>
      <x:c r="O40" s="113" t="n">
        <x:f>IF(O6&gt;='Scenarios'!$C$36,'Scenarios'!$C$37,0)</x:f>
        <x:v>0</x:v>
      </x:c>
      <x:c r="P40" s="113" t="n">
        <x:f>IF(P6&gt;='Scenarios'!$C$36,'Scenarios'!$C$37,0)</x:f>
        <x:v>0</x:v>
      </x:c>
      <x:c r="Q40" s="113" t="n">
        <x:f>IF(Q6&gt;='Scenarios'!$C$36,'Scenarios'!$C$37,0)</x:f>
        <x:v>0</x:v>
      </x:c>
      <x:c r="R40" s="113" t="n">
        <x:f>IF(R6&gt;='Scenarios'!$C$36,'Scenarios'!$C$37,0)</x:f>
        <x:v>0</x:v>
      </x:c>
      <x:c r="S40" s="113" t="n">
        <x:f>IF(S6&gt;='Scenarios'!$C$36,'Scenarios'!$C$37,0)</x:f>
        <x:v>0</x:v>
      </x:c>
      <x:c r="T40" s="113" t="n">
        <x:f>IF(T6&gt;='Scenarios'!$C$36,'Scenarios'!$C$37,0)</x:f>
        <x:v>0</x:v>
      </x:c>
      <x:c r="U40" s="113" t="n">
        <x:f>IF(U6&gt;='Scenarios'!$C$36,'Scenarios'!$C$37,0)</x:f>
        <x:v>0</x:v>
      </x:c>
      <x:c r="V40" s="113" t="n">
        <x:f>IF(V6&gt;='Scenarios'!$C$36,'Scenarios'!$C$37,0)</x:f>
        <x:v>0</x:v>
      </x:c>
      <x:c r="W40" s="113" t="n">
        <x:f>IF(W6&gt;='Scenarios'!$C$36,'Scenarios'!$C$37,0)</x:f>
        <x:v>0</x:v>
      </x:c>
      <x:c r="X40" s="113" t="n">
        <x:f>IF(X6&gt;='Scenarios'!$C$36,'Scenarios'!$C$37,0)</x:f>
        <x:v>0</x:v>
      </x:c>
      <x:c r="Y40" s="113" t="n">
        <x:f>IF(Y6&gt;='Scenarios'!$C$36,'Scenarios'!$C$37,0)</x:f>
        <x:v>0</x:v>
      </x:c>
      <x:c r="Z40" s="113" t="n">
        <x:f>IF(Z6&gt;='Scenarios'!$C$36,'Scenarios'!$C$37,0)</x:f>
        <x:v>40</x:v>
      </x:c>
      <x:c r="AA40" s="113" t="n">
        <x:f>IF(AA6&gt;='Scenarios'!$C$36,'Scenarios'!$C$37,0)</x:f>
        <x:v>40</x:v>
      </x:c>
      <x:c r="AB40" s="113" t="n">
        <x:f>IF(AB6&gt;='Scenarios'!$C$36,'Scenarios'!$C$37,0)</x:f>
        <x:v>40</x:v>
      </x:c>
      <x:c r="AC40" s="113" t="n">
        <x:f>IF(AC6&gt;='Scenarios'!$C$36,'Scenarios'!$C$37,0)</x:f>
        <x:v>40</x:v>
      </x:c>
      <x:c r="AD40" s="113" t="n">
        <x:f>IF(AD6&gt;='Scenarios'!$C$36,'Scenarios'!$C$37,0)</x:f>
        <x:v>40</x:v>
      </x:c>
      <x:c r="AE40" s="113" t="n">
        <x:f>IF(AE6&gt;='Scenarios'!$C$36,'Scenarios'!$C$37,0)</x:f>
        <x:v>40</x:v>
      </x:c>
      <x:c r="AF40" s="113" t="n">
        <x:f>IF(AF6&gt;='Scenarios'!$C$36,'Scenarios'!$C$37,0)</x:f>
        <x:v>40</x:v>
      </x:c>
      <x:c r="AG40" s="113" t="n">
        <x:f>IF(AG6&gt;='Scenarios'!$C$36,'Scenarios'!$C$37,0)</x:f>
        <x:v>40</x:v>
      </x:c>
      <x:c r="AH40" s="113" t="n">
        <x:f>IF(AH6&gt;='Scenarios'!$C$36,'Scenarios'!$C$37,0)</x:f>
        <x:v>40</x:v>
      </x:c>
      <x:c r="AI40" s="113" t="n">
        <x:f>IF(AI6&gt;='Scenarios'!$C$36,'Scenarios'!$C$37,0)</x:f>
        <x:v>40</x:v>
      </x:c>
      <x:c r="AJ40" s="113" t="n">
        <x:f>IF(AJ6&gt;='Scenarios'!$C$36,'Scenarios'!$C$37,0)</x:f>
        <x:v>40</x:v>
      </x:c>
      <x:c r="AK40" s="113" t="n">
        <x:f>IF(AK6&gt;='Scenarios'!$C$36,'Scenarios'!$C$37,0)</x:f>
        <x:v>40</x:v>
      </x:c>
      <x:c r="AL40" s="113" t="n">
        <x:f>IF(AL6&gt;='Scenarios'!$C$36,'Scenarios'!$C$37,0)</x:f>
        <x:v>40</x:v>
      </x:c>
    </x:row>
    <x:row r="41">
      <x:c r="A41" s="84" t="str">
        <x:v>Core contractor hours used</x:v>
      </x:c>
      <x:c r="B41" s="84" t="str">
        <x:v>hours</x:v>
      </x:c>
      <x:c r="C41" s="113" t="n">
        <x:f>MIN(MAX(C37-C39,0),C40)</x:f>
        <x:v>0</x:v>
      </x:c>
      <x:c r="D41" s="113" t="n">
        <x:f>MIN(MAX(D37-D39,0),D40)</x:f>
        <x:v>0</x:v>
      </x:c>
      <x:c r="E41" s="113" t="n">
        <x:f>MIN(MAX(E37-E39,0),E40)</x:f>
        <x:v>0</x:v>
      </x:c>
      <x:c r="F41" s="113" t="n">
        <x:f>MIN(MAX(F37-F39,0),F40)</x:f>
        <x:v>0</x:v>
      </x:c>
      <x:c r="G41" s="113" t="n">
        <x:f>MIN(MAX(G37-G39,0),G40)</x:f>
        <x:v>0</x:v>
      </x:c>
      <x:c r="H41" s="113" t="n">
        <x:f>MIN(MAX(H37-H39,0),H40)</x:f>
        <x:v>0</x:v>
      </x:c>
      <x:c r="I41" s="113" t="n">
        <x:f>MIN(MAX(I37-I39,0),I40)</x:f>
        <x:v>0</x:v>
      </x:c>
      <x:c r="J41" s="113" t="n">
        <x:f>MIN(MAX(J37-J39,0),J40)</x:f>
        <x:v>0</x:v>
      </x:c>
      <x:c r="K41" s="113" t="n">
        <x:f>MIN(MAX(K37-K39,0),K40)</x:f>
        <x:v>0</x:v>
      </x:c>
      <x:c r="L41" s="113" t="n">
        <x:f>MIN(MAX(L37-L39,0),L40)</x:f>
        <x:v>0</x:v>
      </x:c>
      <x:c r="M41" s="113" t="n">
        <x:f>MIN(MAX(M37-M39,0),M40)</x:f>
        <x:v>0</x:v>
      </x:c>
      <x:c r="N41" s="113" t="n">
        <x:f>MIN(MAX(N37-N39,0),N40)</x:f>
        <x:v>0</x:v>
      </x:c>
      <x:c r="O41" s="113" t="n">
        <x:f>MIN(MAX(O37-O39,0),O40)</x:f>
        <x:v>0</x:v>
      </x:c>
      <x:c r="P41" s="113" t="n">
        <x:f>MIN(MAX(P37-P39,0),P40)</x:f>
        <x:v>0</x:v>
      </x:c>
      <x:c r="Q41" s="113" t="n">
        <x:f>MIN(MAX(Q37-Q39,0),Q40)</x:f>
        <x:v>0</x:v>
      </x:c>
      <x:c r="R41" s="113" t="n">
        <x:f>MIN(MAX(R37-R39,0),R40)</x:f>
        <x:v>0</x:v>
      </x:c>
      <x:c r="S41" s="113" t="n">
        <x:f>MIN(MAX(S37-S39,0),S40)</x:f>
        <x:v>0</x:v>
      </x:c>
      <x:c r="T41" s="113" t="n">
        <x:f>MIN(MAX(T37-T39,0),T40)</x:f>
        <x:v>0</x:v>
      </x:c>
      <x:c r="U41" s="113" t="n">
        <x:f>MIN(MAX(U37-U39,0),U40)</x:f>
        <x:v>0</x:v>
      </x:c>
      <x:c r="V41" s="113" t="n">
        <x:f>MIN(MAX(V37-V39,0),V40)</x:f>
        <x:v>0</x:v>
      </x:c>
      <x:c r="W41" s="113" t="n">
        <x:f>MIN(MAX(W37-W39,0),W40)</x:f>
        <x:v>0</x:v>
      </x:c>
      <x:c r="X41" s="113" t="n">
        <x:f>MIN(MAX(X37-X39,0),X40)</x:f>
        <x:v>0</x:v>
      </x:c>
      <x:c r="Y41" s="113" t="n">
        <x:f>MIN(MAX(Y37-Y39,0),Y40)</x:f>
        <x:v>0</x:v>
      </x:c>
      <x:c r="Z41" s="113" t="n">
        <x:f>MIN(MAX(Z37-Z39,0),Z40)</x:f>
        <x:v>0</x:v>
      </x:c>
      <x:c r="AA41" s="113" t="n">
        <x:f>MIN(MAX(AA37-AA39,0),AA40)</x:f>
        <x:v>0</x:v>
      </x:c>
      <x:c r="AB41" s="113" t="n">
        <x:f>MIN(MAX(AB37-AB39,0),AB40)</x:f>
        <x:v>0</x:v>
      </x:c>
      <x:c r="AC41" s="113" t="n">
        <x:f>MIN(MAX(AC37-AC39,0),AC40)</x:f>
        <x:v>0</x:v>
      </x:c>
      <x:c r="AD41" s="113" t="n">
        <x:f>MIN(MAX(AD37-AD39,0),AD40)</x:f>
        <x:v>0</x:v>
      </x:c>
      <x:c r="AE41" s="113" t="n">
        <x:f>MIN(MAX(AE37-AE39,0),AE40)</x:f>
        <x:v>0</x:v>
      </x:c>
      <x:c r="AF41" s="113" t="n">
        <x:f>MIN(MAX(AF37-AF39,0),AF40)</x:f>
        <x:v>0</x:v>
      </x:c>
      <x:c r="AG41" s="113" t="n">
        <x:f>MIN(MAX(AG37-AG39,0),AG40)</x:f>
        <x:v>0</x:v>
      </x:c>
      <x:c r="AH41" s="113" t="n">
        <x:f>MIN(MAX(AH37-AH39,0),AH40)</x:f>
        <x:v>0</x:v>
      </x:c>
      <x:c r="AI41" s="113" t="n">
        <x:f>MIN(MAX(AI37-AI39,0),AI40)</x:f>
        <x:v>0</x:v>
      </x:c>
      <x:c r="AJ41" s="113" t="n">
        <x:f>MIN(MAX(AJ37-AJ39,0),AJ40)</x:f>
        <x:v>0</x:v>
      </x:c>
      <x:c r="AK41" s="113" t="n">
        <x:f>MIN(MAX(AK37-AK39,0),AK40)</x:f>
        <x:v>0</x:v>
      </x:c>
      <x:c r="AL41" s="113" t="n">
        <x:f>MIN(MAX(AL37-AL39,0),AL40)</x:f>
        <x:v>0.7134158950917708</x:v>
      </x:c>
    </x:row>
    <x:row r="42">
      <x:c r="A42" s="84" t="str">
        <x:v>Flex contractor hours required</x:v>
      </x:c>
      <x:c r="B42" s="84" t="str">
        <x:v>hours</x:v>
      </x:c>
      <x:c r="C42" s="113" t="n">
        <x:f>MAX(C37-C39-C41,0)</x:f>
        <x:v>0</x:v>
      </x:c>
      <x:c r="D42" s="113" t="n">
        <x:f>MAX(D37-D39-D41,0)</x:f>
        <x:v>0</x:v>
      </x:c>
      <x:c r="E42" s="113" t="n">
        <x:f>MAX(E37-E39-E41,0)</x:f>
        <x:v>0</x:v>
      </x:c>
      <x:c r="F42" s="113" t="n">
        <x:f>MAX(F37-F39-F41,0)</x:f>
        <x:v>0</x:v>
      </x:c>
      <x:c r="G42" s="113" t="n">
        <x:f>MAX(G37-G39-G41,0)</x:f>
        <x:v>0</x:v>
      </x:c>
      <x:c r="H42" s="113" t="n">
        <x:f>MAX(H37-H39-H41,0)</x:f>
        <x:v>0</x:v>
      </x:c>
      <x:c r="I42" s="113" t="n">
        <x:f>MAX(I37-I39-I41,0)</x:f>
        <x:v>0</x:v>
      </x:c>
      <x:c r="J42" s="113" t="n">
        <x:f>MAX(J37-J39-J41,0)</x:f>
        <x:v>0</x:v>
      </x:c>
      <x:c r="K42" s="113" t="n">
        <x:f>MAX(K37-K39-K41,0)</x:f>
        <x:v>0</x:v>
      </x:c>
      <x:c r="L42" s="113" t="n">
        <x:f>MAX(L37-L39-L41,0)</x:f>
        <x:v>0</x:v>
      </x:c>
      <x:c r="M42" s="113" t="n">
        <x:f>MAX(M37-M39-M41,0)</x:f>
        <x:v>0</x:v>
      </x:c>
      <x:c r="N42" s="113" t="n">
        <x:f>MAX(N37-N39-N41,0)</x:f>
        <x:v>0</x:v>
      </x:c>
      <x:c r="O42" s="113" t="n">
        <x:f>MAX(O37-O39-O41,0)</x:f>
        <x:v>0</x:v>
      </x:c>
      <x:c r="P42" s="113" t="n">
        <x:f>MAX(P37-P39-P41,0)</x:f>
        <x:v>0</x:v>
      </x:c>
      <x:c r="Q42" s="113" t="n">
        <x:f>MAX(Q37-Q39-Q41,0)</x:f>
        <x:v>0</x:v>
      </x:c>
      <x:c r="R42" s="113" t="n">
        <x:f>MAX(R37-R39-R41,0)</x:f>
        <x:v>0</x:v>
      </x:c>
      <x:c r="S42" s="113" t="n">
        <x:f>MAX(S37-S39-S41,0)</x:f>
        <x:v>0</x:v>
      </x:c>
      <x:c r="T42" s="113" t="n">
        <x:f>MAX(T37-T39-T41,0)</x:f>
        <x:v>0</x:v>
      </x:c>
      <x:c r="U42" s="113" t="n">
        <x:f>MAX(U37-U39-U41,0)</x:f>
        <x:v>0</x:v>
      </x:c>
      <x:c r="V42" s="113" t="n">
        <x:f>MAX(V37-V39-V41,0)</x:f>
        <x:v>0</x:v>
      </x:c>
      <x:c r="W42" s="113" t="n">
        <x:f>MAX(W37-W39-W41,0)</x:f>
        <x:v>0</x:v>
      </x:c>
      <x:c r="X42" s="113" t="n">
        <x:f>MAX(X37-X39-X41,0)</x:f>
        <x:v>0</x:v>
      </x:c>
      <x:c r="Y42" s="113" t="n">
        <x:f>MAX(Y37-Y39-Y41,0)</x:f>
        <x:v>0</x:v>
      </x:c>
      <x:c r="Z42" s="113" t="n">
        <x:f>MAX(Z37-Z39-Z41,0)</x:f>
        <x:v>0</x:v>
      </x:c>
      <x:c r="AA42" s="113" t="n">
        <x:f>MAX(AA37-AA39-AA41,0)</x:f>
        <x:v>0</x:v>
      </x:c>
      <x:c r="AB42" s="113" t="n">
        <x:f>MAX(AB37-AB39-AB41,0)</x:f>
        <x:v>0</x:v>
      </x:c>
      <x:c r="AC42" s="113" t="n">
        <x:f>MAX(AC37-AC39-AC41,0)</x:f>
        <x:v>0</x:v>
      </x:c>
      <x:c r="AD42" s="113" t="n">
        <x:f>MAX(AD37-AD39-AD41,0)</x:f>
        <x:v>0</x:v>
      </x:c>
      <x:c r="AE42" s="113" t="n">
        <x:f>MAX(AE37-AE39-AE41,0)</x:f>
        <x:v>0</x:v>
      </x:c>
      <x:c r="AF42" s="113" t="n">
        <x:f>MAX(AF37-AF39-AF41,0)</x:f>
        <x:v>0</x:v>
      </x:c>
      <x:c r="AG42" s="113" t="n">
        <x:f>MAX(AG37-AG39-AG41,0)</x:f>
        <x:v>0</x:v>
      </x:c>
      <x:c r="AH42" s="113" t="n">
        <x:f>MAX(AH37-AH39-AH41,0)</x:f>
        <x:v>0</x:v>
      </x:c>
      <x:c r="AI42" s="113" t="n">
        <x:f>MAX(AI37-AI39-AI41,0)</x:f>
        <x:v>0</x:v>
      </x:c>
      <x:c r="AJ42" s="113" t="n">
        <x:f>MAX(AJ37-AJ39-AJ41,0)</x:f>
        <x:v>0</x:v>
      </x:c>
      <x:c r="AK42" s="113" t="n">
        <x:f>MAX(AK37-AK39-AK41,0)</x:f>
        <x:v>0</x:v>
      </x:c>
      <x:c r="AL42" s="113" t="n">
        <x:f>MAX(AL37-AL39-AL41,0)</x:f>
        <x:v>0</x:v>
      </x:c>
    </x:row>
    <x:row r="43">
      <x:c r="A43" s="84" t="str">
        <x:v>Founder delivery utilization</x:v>
      </x:c>
      <x:c r="B43" s="84" t="str">
        <x:v>%</x:v>
      </x:c>
      <x:c r="C43" s="116" t="n">
        <x:f>IF(C38=0,0,C39/C38)</x:f>
        <x:v>0.03923076923076923</x:v>
      </x:c>
      <x:c r="D43" s="116" t="n">
        <x:f>IF(D38=0,0,D39/D38)</x:f>
        <x:v>0.10788461538461537</x:v>
      </x:c>
      <x:c r="E43" s="116" t="n">
        <x:f>IF(E38=0,0,E39/E38)</x:f>
        <x:v>0.11515906249999999</x:v>
      </x:c>
      <x:c r="F43" s="116" t="n">
        <x:f>IF(F38=0,0,F39/F38)</x:f>
        <x:v>0.15913835312499996</x:v>
      </x:c>
      <x:c r="G43" s="116" t="n">
        <x:f>IF(G38=0,0,G39/G38)</x:f>
        <x:v>0.23059826503124997</x:v>
      </x:c>
      <x:c r="H43" s="116" t="n">
        <x:f>IF(H38=0,0,H39/H38)</x:f>
        <x:v>0.24408399496492786</x:v>
      </x:c>
      <x:c r="I43" s="116" t="n">
        <x:f>IF(I38=0,0,I39/I38)</x:f>
        <x:v>0.2571651530005954</x:v>
      </x:c>
      <x:c r="J43" s="116" t="n">
        <x:f>IF(J38=0,0,J39/J38)</x:f>
        <x:v>0.2698538762951929</x:v>
      </x:c>
      <x:c r="K43" s="116" t="n">
        <x:f>IF(K38=0,0,K39/K38)</x:f>
        <x:v>0.28216193789095245</x:v>
      </x:c>
      <x:c r="L43" s="116" t="n">
        <x:f>IF(L38=0,0,L39/L38)</x:f>
        <x:v>0.29410075763883936</x:v>
      </x:c>
      <x:c r="M43" s="116" t="n">
        <x:f>IF(M38=0,0,M39/M38)</x:f>
        <x:v>0.3056814127942895</x:v>
      </x:c>
      <x:c r="N43" s="116" t="n">
        <x:f>IF(N38=0,0,N39/N38)</x:f>
        <x:v>0.31691464829507626</x:v>
      </x:c>
      <x:c r="O43" s="116" t="n">
        <x:f>IF(O38=0,0,O39/O38)</x:f>
        <x:v>0.3670416559616086</x:v>
      </x:c>
      <x:c r="P43" s="116" t="n">
        <x:f>IF(P38=0,0,P39/P38)</x:f>
        <x:v>0.4462648533981449</x:v>
      </x:c>
      <x:c r="Q43" s="116" t="n">
        <x:f>IF(Q38=0,0,Q39/Q38)</x:f>
        <x:v>0.463791571257739</x:v>
      </x:c>
      <x:c r="R43" s="116" t="n">
        <x:f>IF(R38=0,0,R39/R38)</x:f>
        <x:v>0.48079248758154536</x:v>
      </x:c>
      <x:c r="S43" s="116" t="n">
        <x:f>IF(S38=0,0,S39/S38)</x:f>
        <x:v>0.49728337641563747</x:v>
      </x:c>
      <x:c r="T43" s="116" t="n">
        <x:f>IF(T38=0,0,T39/T38)</x:f>
        <x:v>0.5132795385847068</x:v>
      </x:c>
      <x:c r="U43" s="116" t="n">
        <x:f>IF(U38=0,0,U39/U38)</x:f>
        <x:v>0.5680265851194732</x:v>
      </x:c>
      <x:c r="V43" s="116" t="n">
        <x:f>IF(V38=0,0,V39/V38)</x:f>
        <x:v>0.6517312202581967</x:v>
      </x:c>
      <x:c r="W43" s="116" t="n">
        <x:f>IF(W38=0,0,W39/W38)</x:f>
        <x:v>0.6736049326889124</x:v>
      </x:c>
      <x:c r="X43" s="116" t="n">
        <x:f>IF(X38=0,0,X39/X38)</x:f>
        <x:v>0.6948224337467065</x:v>
      </x:c>
      <x:c r="Y43" s="116" t="n">
        <x:f>IF(Y38=0,0,Y39/Y38)</x:f>
        <x:v>0.7154034097727671</x:v>
      </x:c>
      <x:c r="Z43" s="116" t="n">
        <x:f>IF(Z38=0,0,Z39/Z38)</x:f>
        <x:v>0.7353669565180455</x:v>
      </x:c>
      <x:c r="AA43" s="116" t="n">
        <x:f>IF(AA38=0,0,AA39/AA38)</x:f>
        <x:v>0.7731931353225041</x:v>
      </x:c>
      <x:c r="AB43" s="116" t="n">
        <x:f>IF(AB38=0,0,AB39/AB38)</x:f>
        <x:v>0.824284528762829</x:v>
      </x:c>
      <x:c r="AC43" s="116" t="n">
        <x:f>IF(AC38=0,0,AC39/AC38)</x:f>
        <x:v>0.8459279880922517</x:v>
      </x:c>
      <x:c r="AD43" s="116" t="n">
        <x:f>IF(AD38=0,0,AD39/AD38)</x:f>
        <x:v>0.8669221436417919</x:v>
      </x:c>
      <x:c r="AE43" s="116" t="n">
        <x:f>IF(AE38=0,0,AE39/AE38)</x:f>
        <x:v>0.8872864745248458</x:v>
      </x:c>
      <x:c r="AF43" s="116" t="n">
        <x:f>IF(AF38=0,0,AF39/AF38)</x:f>
        <x:v>0.907039875481408</x:v>
      </x:c>
      <x:c r="AG43" s="116" t="n">
        <x:f>IF(AG38=0,0,AG39/AG38)</x:f>
        <x:v>0.9262006744092736</x:v>
      </x:c>
      <x:c r="AH43" s="116" t="n">
        <x:f>IF(AH38=0,0,AH39/AH38)</x:f>
        <x:v>0.944786649369303</x:v>
      </x:c>
      <x:c r="AI43" s="116" t="n">
        <x:f>IF(AI38=0,0,AI39/AI38)</x:f>
        <x:v>0.9628150450805316</x:v>
      </x:c>
      <x:c r="AJ43" s="116" t="n">
        <x:f>IF(AJ38=0,0,AJ39/AJ38)</x:f>
        <x:v>0.9803025889204233</x:v>
      </x:c>
      <x:c r="AK43" s="116" t="n">
        <x:f>IF(AK38=0,0,AK39/AK38)</x:f>
        <x:v>0.9972655064451185</x:v>
      </x:c>
      <x:c r="AL43" s="116" t="n">
        <x:f>IF(AL38=0,0,AL39/AL38)</x:f>
        <x:v>1</x:v>
      </x:c>
    </x:row>
    <x:row r="44">
      <x:c r="A44" s="63" t="str">
        <x:v>COST OF SERVICE + GROSS MARGIN</x:v>
      </x:c>
      <x:c r="B44" s="63" t="str"/>
      <x:c r="C44" s="112"/>
      <x:c r="D44" s="112"/>
      <x:c r="E44" s="112"/>
      <x:c r="F44" s="112"/>
      <x:c r="G44" s="112"/>
      <x:c r="H44" s="112"/>
      <x:c r="I44" s="112"/>
      <x:c r="J44" s="112"/>
      <x:c r="K44" s="112"/>
      <x:c r="L44" s="112"/>
      <x:c r="M44" s="112"/>
      <x:c r="N44" s="112"/>
      <x:c r="O44" s="112"/>
      <x:c r="P44" s="112"/>
      <x:c r="Q44" s="112"/>
      <x:c r="R44" s="112"/>
      <x:c r="S44" s="112"/>
      <x:c r="T44" s="112"/>
      <x:c r="U44" s="112"/>
      <x:c r="V44" s="112"/>
      <x:c r="W44" s="112"/>
      <x:c r="X44" s="112"/>
      <x:c r="Y44" s="112"/>
      <x:c r="Z44" s="112"/>
      <x:c r="AA44" s="112"/>
      <x:c r="AB44" s="112"/>
      <x:c r="AC44" s="112"/>
      <x:c r="AD44" s="112"/>
      <x:c r="AE44" s="112"/>
      <x:c r="AF44" s="112"/>
      <x:c r="AG44" s="112"/>
      <x:c r="AH44" s="112"/>
      <x:c r="AI44" s="112"/>
      <x:c r="AJ44" s="112"/>
      <x:c r="AK44" s="112"/>
      <x:c r="AL44" s="112"/>
    </x:row>
    <x:row r="45">
      <x:c r="A45" s="84" t="str">
        <x:v>External delivery labour</x:v>
      </x:c>
      <x:c r="B45" s="84" t="str">
        <x:v>$</x:v>
      </x:c>
      <x:c r="C45" s="114" t="n">
        <x:f>C41*'Scenarios'!$C$38+C42*'Scenarios'!$C$39</x:f>
        <x:v>0</x:v>
      </x:c>
      <x:c r="D45" s="114" t="n">
        <x:f>D41*'Scenarios'!$C$38+D42*'Scenarios'!$C$39</x:f>
        <x:v>0</x:v>
      </x:c>
      <x:c r="E45" s="114" t="n">
        <x:f>E41*'Scenarios'!$C$38+E42*'Scenarios'!$C$39</x:f>
        <x:v>0</x:v>
      </x:c>
      <x:c r="F45" s="114" t="n">
        <x:f>F41*'Scenarios'!$C$38+F42*'Scenarios'!$C$39</x:f>
        <x:v>0</x:v>
      </x:c>
      <x:c r="G45" s="114" t="n">
        <x:f>G41*'Scenarios'!$C$38+G42*'Scenarios'!$C$39</x:f>
        <x:v>0</x:v>
      </x:c>
      <x:c r="H45" s="114" t="n">
        <x:f>H41*'Scenarios'!$C$38+H42*'Scenarios'!$C$39</x:f>
        <x:v>0</x:v>
      </x:c>
      <x:c r="I45" s="114" t="n">
        <x:f>I41*'Scenarios'!$C$38+I42*'Scenarios'!$C$39</x:f>
        <x:v>0</x:v>
      </x:c>
      <x:c r="J45" s="114" t="n">
        <x:f>J41*'Scenarios'!$C$38+J42*'Scenarios'!$C$39</x:f>
        <x:v>0</x:v>
      </x:c>
      <x:c r="K45" s="114" t="n">
        <x:f>K41*'Scenarios'!$C$38+K42*'Scenarios'!$C$39</x:f>
        <x:v>0</x:v>
      </x:c>
      <x:c r="L45" s="114" t="n">
        <x:f>L41*'Scenarios'!$C$38+L42*'Scenarios'!$C$39</x:f>
        <x:v>0</x:v>
      </x:c>
      <x:c r="M45" s="114" t="n">
        <x:f>M41*'Scenarios'!$C$38+M42*'Scenarios'!$C$39</x:f>
        <x:v>0</x:v>
      </x:c>
      <x:c r="N45" s="114" t="n">
        <x:f>N41*'Scenarios'!$C$38+N42*'Scenarios'!$C$39</x:f>
        <x:v>0</x:v>
      </x:c>
      <x:c r="O45" s="114" t="n">
        <x:f>O41*'Scenarios'!$C$38+O42*'Scenarios'!$C$39</x:f>
        <x:v>0</x:v>
      </x:c>
      <x:c r="P45" s="114" t="n">
        <x:f>P41*'Scenarios'!$C$38+P42*'Scenarios'!$C$39</x:f>
        <x:v>0</x:v>
      </x:c>
      <x:c r="Q45" s="114" t="n">
        <x:f>Q41*'Scenarios'!$C$38+Q42*'Scenarios'!$C$39</x:f>
        <x:v>0</x:v>
      </x:c>
      <x:c r="R45" s="114" t="n">
        <x:f>R41*'Scenarios'!$C$38+R42*'Scenarios'!$C$39</x:f>
        <x:v>0</x:v>
      </x:c>
      <x:c r="S45" s="114" t="n">
        <x:f>S41*'Scenarios'!$C$38+S42*'Scenarios'!$C$39</x:f>
        <x:v>0</x:v>
      </x:c>
      <x:c r="T45" s="114" t="n">
        <x:f>T41*'Scenarios'!$C$38+T42*'Scenarios'!$C$39</x:f>
        <x:v>0</x:v>
      </x:c>
      <x:c r="U45" s="114" t="n">
        <x:f>U41*'Scenarios'!$C$38+U42*'Scenarios'!$C$39</x:f>
        <x:v>0</x:v>
      </x:c>
      <x:c r="V45" s="114" t="n">
        <x:f>V41*'Scenarios'!$C$38+V42*'Scenarios'!$C$39</x:f>
        <x:v>0</x:v>
      </x:c>
      <x:c r="W45" s="114" t="n">
        <x:f>W41*'Scenarios'!$C$38+W42*'Scenarios'!$C$39</x:f>
        <x:v>0</x:v>
      </x:c>
      <x:c r="X45" s="114" t="n">
        <x:f>X41*'Scenarios'!$C$38+X42*'Scenarios'!$C$39</x:f>
        <x:v>0</x:v>
      </x:c>
      <x:c r="Y45" s="114" t="n">
        <x:f>Y41*'Scenarios'!$C$38+Y42*'Scenarios'!$C$39</x:f>
        <x:v>0</x:v>
      </x:c>
      <x:c r="Z45" s="114" t="n">
        <x:f>Z41*'Scenarios'!$C$38+Z42*'Scenarios'!$C$39</x:f>
        <x:v>0</x:v>
      </x:c>
      <x:c r="AA45" s="114" t="n">
        <x:f>AA41*'Scenarios'!$C$38+AA42*'Scenarios'!$C$39</x:f>
        <x:v>0</x:v>
      </x:c>
      <x:c r="AB45" s="114" t="n">
        <x:f>AB41*'Scenarios'!$C$38+AB42*'Scenarios'!$C$39</x:f>
        <x:v>0</x:v>
      </x:c>
      <x:c r="AC45" s="114" t="n">
        <x:f>AC41*'Scenarios'!$C$38+AC42*'Scenarios'!$C$39</x:f>
        <x:v>0</x:v>
      </x:c>
      <x:c r="AD45" s="114" t="n">
        <x:f>AD41*'Scenarios'!$C$38+AD42*'Scenarios'!$C$39</x:f>
        <x:v>0</x:v>
      </x:c>
      <x:c r="AE45" s="114" t="n">
        <x:f>AE41*'Scenarios'!$C$38+AE42*'Scenarios'!$C$39</x:f>
        <x:v>0</x:v>
      </x:c>
      <x:c r="AF45" s="114" t="n">
        <x:f>AF41*'Scenarios'!$C$38+AF42*'Scenarios'!$C$39</x:f>
        <x:v>0</x:v>
      </x:c>
      <x:c r="AG45" s="114" t="n">
        <x:f>AG41*'Scenarios'!$C$38+AG42*'Scenarios'!$C$39</x:f>
        <x:v>0</x:v>
      </x:c>
      <x:c r="AH45" s="114" t="n">
        <x:f>AH41*'Scenarios'!$C$38+AH42*'Scenarios'!$C$39</x:f>
        <x:v>0</x:v>
      </x:c>
      <x:c r="AI45" s="114" t="n">
        <x:f>AI41*'Scenarios'!$C$38+AI42*'Scenarios'!$C$39</x:f>
        <x:v>0</x:v>
      </x:c>
      <x:c r="AJ45" s="114" t="n">
        <x:f>AJ41*'Scenarios'!$C$38+AJ42*'Scenarios'!$C$39</x:f>
        <x:v>0</x:v>
      </x:c>
      <x:c r="AK45" s="114" t="n">
        <x:f>AK41*'Scenarios'!$C$38+AK42*'Scenarios'!$C$39</x:f>
        <x:v>0</x:v>
      </x:c>
      <x:c r="AL45" s="114" t="n">
        <x:f>AL41*'Scenarios'!$C$38+AL42*'Scenarios'!$C$39</x:f>
        <x:v>71.34158950917708</x:v>
      </x:c>
    </x:row>
    <x:row r="46">
      <x:c r="A46" s="84" t="str">
        <x:v>Founder economic delivery cost</x:v>
      </x:c>
      <x:c r="B46" s="84" t="str">
        <x:v>$</x:v>
      </x:c>
      <x:c r="C46" s="114" t="n">
        <x:f>C39*'Scenarios'!$C$33</x:f>
        <x:v>255</x:v>
      </x:c>
      <x:c r="D46" s="114" t="n">
        <x:f>D39*'Scenarios'!$C$33</x:f>
        <x:v>701.2499999999999</x:v>
      </x:c>
      <x:c r="E46" s="114" t="n">
        <x:f>E39*'Scenarios'!$C$33</x:f>
        <x:v>748.53390625</x:v>
      </x:c>
      <x:c r="F46" s="114" t="n">
        <x:f>F39*'Scenarios'!$C$33</x:f>
        <x:v>1034.3992953124998</x:v>
      </x:c>
      <x:c r="G46" s="114" t="n">
        <x:f>G39*'Scenarios'!$C$33</x:f>
        <x:v>1498.8887227031248</x:v>
      </x:c>
      <x:c r="H46" s="114" t="n">
        <x:f>H39*'Scenarios'!$C$33</x:f>
        <x:v>1586.545967272031</x:v>
      </x:c>
      <x:c r="I46" s="114" t="n">
        <x:f>I39*'Scenarios'!$C$33</x:f>
        <x:v>1671.57349450387</x:v>
      </x:c>
      <x:c r="J46" s="114" t="n">
        <x:f>J39*'Scenarios'!$C$33</x:f>
        <x:v>1754.050195918754</x:v>
      </x:c>
      <x:c r="K46" s="114" t="n">
        <x:f>K39*'Scenarios'!$C$33</x:f>
        <x:v>1834.052596291191</x:v>
      </x:c>
      <x:c r="L46" s="114" t="n">
        <x:f>L39*'Scenarios'!$C$33</x:f>
        <x:v>1911.6549246524557</x:v>
      </x:c>
      <x:c r="M46" s="114" t="n">
        <x:f>M39*'Scenarios'!$C$33</x:f>
        <x:v>1986.9291831628816</x:v>
      </x:c>
      <x:c r="N46" s="114" t="n">
        <x:f>N39*'Scenarios'!$C$33</x:f>
        <x:v>2059.9452139179957</x:v>
      </x:c>
      <x:c r="O46" s="114" t="n">
        <x:f>O39*'Scenarios'!$C$33</x:f>
        <x:v>2385.770763750456</x:v>
      </x:c>
      <x:c r="P46" s="114" t="n">
        <x:f>P39*'Scenarios'!$C$33</x:f>
        <x:v>2900.721547087942</x:v>
      </x:c>
      <x:c r="Q46" s="114" t="n">
        <x:f>Q39*'Scenarios'!$C$33</x:f>
        <x:v>3014.6452131753035</x:v>
      </x:c>
      <x:c r="R46" s="114" t="n">
        <x:f>R39*'Scenarios'!$C$33</x:f>
        <x:v>3125.151169280045</x:v>
      </x:c>
      <x:c r="S46" s="114" t="n">
        <x:f>S39*'Scenarios'!$C$33</x:f>
        <x:v>3232.341946701644</x:v>
      </x:c>
      <x:c r="T46" s="114" t="n">
        <x:f>T39*'Scenarios'!$C$33</x:f>
        <x:v>3336.317000800594</x:v>
      </x:c>
      <x:c r="U46" s="114" t="n">
        <x:f>U39*'Scenarios'!$C$33</x:f>
        <x:v>3692.1728032765764</x:v>
      </x:c>
      <x:c r="V46" s="114" t="n">
        <x:f>V39*'Scenarios'!$C$33</x:f>
        <x:v>4236.252931678279</x:v>
      </x:c>
      <x:c r="W46" s="114" t="n">
        <x:f>W39*'Scenarios'!$C$33</x:f>
        <x:v>4378.43206247793</x:v>
      </x:c>
      <x:c r="X46" s="114" t="n">
        <x:f>X39*'Scenarios'!$C$33</x:f>
        <x:v>4516.345819353593</x:v>
      </x:c>
      <x:c r="Y46" s="114" t="n">
        <x:f>Y39*'Scenarios'!$C$33</x:f>
        <x:v>4650.122163522986</x:v>
      </x:c>
      <x:c r="Z46" s="114" t="n">
        <x:f>Z39*'Scenarios'!$C$33</x:f>
        <x:v>4779.885217367296</x:v>
      </x:c>
      <x:c r="AA46" s="114" t="n">
        <x:f>AA39*'Scenarios'!$C$33</x:f>
        <x:v>5025.755379596277</x:v>
      </x:c>
      <x:c r="AB46" s="114" t="n">
        <x:f>AB39*'Scenarios'!$C$33</x:f>
        <x:v>5357.849436958389</x:v>
      </x:c>
      <x:c r="AC46" s="114" t="n">
        <x:f>AC39*'Scenarios'!$C$33</x:f>
        <x:v>5498.531922599635</x:v>
      </x:c>
      <x:c r="AD46" s="114" t="n">
        <x:f>AD39*'Scenarios'!$C$33</x:f>
        <x:v>5634.993933671647</x:v>
      </x:c>
      <x:c r="AE46" s="114" t="n">
        <x:f>AE39*'Scenarios'!$C$33</x:f>
        <x:v>5767.362084411498</x:v>
      </x:c>
      <x:c r="AF46" s="114" t="n">
        <x:f>AF39*'Scenarios'!$C$33</x:f>
        <x:v>5895.759190629152</x:v>
      </x:c>
      <x:c r="AG46" s="114" t="n">
        <x:f>AG39*'Scenarios'!$C$33</x:f>
        <x:v>6020.304383660278</x:v>
      </x:c>
      <x:c r="AH46" s="114" t="n">
        <x:f>AH39*'Scenarios'!$C$33</x:f>
        <x:v>6141.113220900469</x:v>
      </x:c>
      <x:c r="AI46" s="114" t="n">
        <x:f>AI39*'Scenarios'!$C$33</x:f>
        <x:v>6258.297793023456</x:v>
      </x:c>
      <x:c r="AJ46" s="114" t="n">
        <x:f>AJ39*'Scenarios'!$C$33</x:f>
        <x:v>6371.966827982751</x:v>
      </x:c>
      <x:c r="AK46" s="114" t="n">
        <x:f>AK39*'Scenarios'!$C$33</x:f>
        <x:v>6482.22579189327</x:v>
      </x:c>
      <x:c r="AL46" s="114" t="n">
        <x:f>AL39*'Scenarios'!$C$33</x:f>
        <x:v>6500</x:v>
      </x:c>
    </x:row>
    <x:row r="47">
      <x:c r="A47" s="84" t="str">
        <x:v>Platform / direct account cost</x:v>
      </x:c>
      <x:c r="B47" s="84" t="str">
        <x:v>$</x:v>
      </x:c>
      <x:c r="C47" s="114" t="n">
        <x:f>C13*'Scenarios'!$C$48</x:f>
        <x:v>0</x:v>
      </x:c>
      <x:c r="D47" s="114" t="n">
        <x:f>D13*'Scenarios'!$C$48</x:f>
        <x:v>0</x:v>
      </x:c>
      <x:c r="E47" s="114" t="n">
        <x:f>E13*'Scenarios'!$C$48</x:f>
        <x:v>5.949999999999999</x:v>
      </x:c>
      <x:c r="F47" s="114" t="n">
        <x:f>F13*'Scenarios'!$C$48</x:f>
        <x:v>11.721499999999999</x:v>
      </x:c>
      <x:c r="G47" s="114" t="n">
        <x:f>G13*'Scenarios'!$C$48</x:f>
        <x:v>17.319854999999997</x:v>
      </x:c>
      <x:c r="H47" s="114" t="n">
        <x:f>H13*'Scenarios'!$C$48</x:f>
        <x:v>28.350259349999995</x:v>
      </x:c>
      <x:c r="I47" s="114" t="n">
        <x:f>I13*'Scenarios'!$C$48</x:f>
        <x:v>39.049751569499996</x:v>
      </x:c>
      <x:c r="J47" s="114" t="n">
        <x:f>J13*'Scenarios'!$C$48</x:f>
        <x:v>49.42825902241499</x:v>
      </x:c>
      <x:c r="K47" s="114" t="n">
        <x:f>K13*'Scenarios'!$C$48</x:f>
        <x:v>59.49541125174254</x:v>
      </x:c>
      <x:c r="L47" s="114" t="n">
        <x:f>L13*'Scenarios'!$C$48</x:f>
        <x:v>69.26054891419027</x:v>
      </x:c>
      <x:c r="M47" s="114" t="n">
        <x:f>M13*'Scenarios'!$C$48</x:f>
        <x:v>78.73273244676456</x:v>
      </x:c>
      <x:c r="N47" s="114" t="n">
        <x:f>N13*'Scenarios'!$C$48</x:f>
        <x:v>87.92075047336161</x:v>
      </x:c>
      <x:c r="O47" s="114" t="n">
        <x:f>O13*'Scenarios'!$C$48</x:f>
        <x:v>96.83312795916078</x:v>
      </x:c>
      <x:c r="P47" s="114" t="n">
        <x:f>P13*'Scenarios'!$C$48</x:f>
        <x:v>105.47813412038593</x:v>
      </x:c>
      <x:c r="Q47" s="114" t="n">
        <x:f>Q13*'Scenarios'!$C$48</x:f>
        <x:v>119.81379009677435</x:v>
      </x:c>
      <x:c r="R47" s="114" t="n">
        <x:f>R13*'Scenarios'!$C$48</x:f>
        <x:v>133.71937639387113</x:v>
      </x:c>
      <x:c r="S47" s="114" t="n">
        <x:f>S13*'Scenarios'!$C$48</x:f>
        <x:v>147.207795102055</x:v>
      </x:c>
      <x:c r="T47" s="114" t="n">
        <x:f>T13*'Scenarios'!$C$48</x:f>
        <x:v>160.29156124899336</x:v>
      </x:c>
      <x:c r="U47" s="114" t="n">
        <x:f>U13*'Scenarios'!$C$48</x:f>
        <x:v>172.98281441152358</x:v>
      </x:c>
      <x:c r="V47" s="114" t="n">
        <x:f>V13*'Scenarios'!$C$48</x:f>
        <x:v>185.29332997917786</x:v>
      </x:c>
      <x:c r="W47" s="114" t="n">
        <x:f>W13*'Scenarios'!$C$48</x:f>
        <x:v>203.18453007980253</x:v>
      </x:c>
      <x:c r="X47" s="114" t="n">
        <x:f>X13*'Scenarios'!$C$48</x:f>
        <x:v>220.53899417740848</x:v>
      </x:c>
      <x:c r="Y47" s="114" t="n">
        <x:f>Y13*'Scenarios'!$C$48</x:f>
        <x:v>237.37282435208624</x:v>
      </x:c>
      <x:c r="Z47" s="114" t="n">
        <x:f>Z13*'Scenarios'!$C$48</x:f>
        <x:v>253.70163962152367</x:v>
      </x:c>
      <x:c r="AA47" s="114" t="n">
        <x:f>AA13*'Scenarios'!$C$48</x:f>
        <x:v>269.54059043287793</x:v>
      </x:c>
      <x:c r="AB47" s="114" t="n">
        <x:f>AB13*'Scenarios'!$C$48</x:f>
        <x:v>284.9043727198916</x:v>
      </x:c>
      <x:c r="AC47" s="114" t="n">
        <x:f>AC13*'Scenarios'!$C$48</x:f>
        <x:v>302.60724153829483</x:v>
      </x:c>
      <x:c r="AD47" s="114" t="n">
        <x:f>AD13*'Scenarios'!$C$48</x:f>
        <x:v>319.779024292146</x:v>
      </x:c>
      <x:c r="AE47" s="114" t="n">
        <x:f>AE13*'Scenarios'!$C$48</x:f>
        <x:v>336.4356535633816</x:v>
      </x:c>
      <x:c r="AF47" s="114" t="n">
        <x:f>AF13*'Scenarios'!$C$48</x:f>
        <x:v>352.59258395648015</x:v>
      </x:c>
      <x:c r="AG47" s="114" t="n">
        <x:f>AG13*'Scenarios'!$C$48</x:f>
        <x:v>368.2648064377857</x:v>
      </x:c>
      <x:c r="AH47" s="114" t="n">
        <x:f>AH13*'Scenarios'!$C$48</x:f>
        <x:v>383.46686224465213</x:v>
      </x:c>
      <x:c r="AI47" s="114" t="n">
        <x:f>AI13*'Scenarios'!$C$48</x:f>
        <x:v>398.2128563773126</x:v>
      </x:c>
      <x:c r="AJ47" s="114" t="n">
        <x:f>AJ13*'Scenarios'!$C$48</x:f>
        <x:v>412.5164706859932</x:v>
      </x:c>
      <x:c r="AK47" s="114" t="n">
        <x:f>AK13*'Scenarios'!$C$48</x:f>
        <x:v>426.3909765654135</x:v>
      </x:c>
      <x:c r="AL47" s="114" t="n">
        <x:f>AL13*'Scenarios'!$C$48</x:f>
        <x:v>439.8492472684511</x:v>
      </x:c>
    </x:row>
    <x:row r="48">
      <x:c r="A48" s="84" t="str">
        <x:v>Payment / bad-debt reserve</x:v>
      </x:c>
      <x:c r="B48" s="84" t="str">
        <x:v>$</x:v>
      </x:c>
      <x:c r="C48" s="114" t="n">
        <x:f>C28*'Scenarios'!$C$49</x:f>
        <x:v>11.781000000000004</x:v>
      </x:c>
      <x:c r="D48" s="114" t="n">
        <x:f>D28*'Scenarios'!$C$49</x:f>
        <x:v>25.800390000000007</x:v>
      </x:c>
      <x:c r="E48" s="114" t="n">
        <x:f>E28*'Scenarios'!$C$49</x:f>
        <x:v>28.106029875000004</x:v>
      </x:c>
      <x:c r="F48" s="114" t="n">
        <x:f>F28*'Scenarios'!$C$49</x:f>
        <x:v>41.43050055375</x:v>
      </x:c>
      <x:c r="G48" s="114" t="n">
        <x:f>G28*'Scenarios'!$C$49</x:f>
        <x:v>56.7945971121375</x:v>
      </x:c>
      <x:c r="H48" s="114" t="n">
        <x:f>H28*'Scenarios'!$C$49</x:f>
        <x:v>61.06890637377337</x:v>
      </x:c>
      <x:c r="I48" s="114" t="n">
        <x:f>I28*'Scenarios'!$C$49</x:f>
        <x:v>65.21498635756018</x:v>
      </x:c>
      <x:c r="J48" s="114" t="n">
        <x:f>J28*'Scenarios'!$C$49</x:f>
        <x:v>69.23668394183336</x:v>
      </x:c>
      <x:c r="K48" s="114" t="n">
        <x:f>K28*'Scenarios'!$C$49</x:f>
        <x:v>73.13773059857836</x:v>
      </x:c>
      <x:c r="L48" s="114" t="n">
        <x:f>L28*'Scenarios'!$C$49</x:f>
        <x:v>76.92174585562103</x:v>
      </x:c>
      <x:c r="M48" s="114" t="n">
        <x:f>M28*'Scenarios'!$C$49</x:f>
        <x:v>80.59224065495239</x:v>
      </x:c>
      <x:c r="N48" s="114" t="n">
        <x:f>N28*'Scenarios'!$C$49</x:f>
        <x:v>84.15262061030381</x:v>
      </x:c>
      <x:c r="O48" s="114" t="n">
        <x:f>O28*'Scenarios'!$C$49</x:f>
        <x:v>99.38718916699469</x:v>
      </x:c>
      <x:c r="P48" s="114" t="n">
        <x:f>P28*'Scenarios'!$C$49</x:f>
        <x:v>116.75654066698485</x:v>
      </x:c>
      <x:c r="Q48" s="114" t="n">
        <x:f>Q28*'Scenarios'!$C$49</x:f>
        <x:v>122.31164319697531</x:v>
      </x:c>
      <x:c r="R48" s="114" t="n">
        <x:f>R28*'Scenarios'!$C$49</x:f>
        <x:v>127.70009265106606</x:v>
      </x:c>
      <x:c r="S48" s="114" t="n">
        <x:f>S28*'Scenarios'!$C$49</x:f>
        <x:v>132.9268886215341</x:v>
      </x:c>
      <x:c r="T48" s="114" t="n">
        <x:f>T28*'Scenarios'!$C$49</x:f>
        <x:v>137.99688071288807</x:v>
      </x:c>
      <x:c r="U48" s="114" t="n">
        <x:f>U28*'Scenarios'!$C$49</x:f>
        <x:v>154.6957730415014</x:v>
      </x:c>
      <x:c r="V48" s="114" t="n">
        <x:f>V28*'Scenarios'!$C$49</x:f>
        <x:v>173.4855186002564</x:v>
      </x:c>
      <x:c r="W48" s="114" t="n">
        <x:f>W28*'Scenarios'!$C$49</x:f>
        <x:v>180.4184033672487</x:v>
      </x:c>
      <x:c r="X48" s="114" t="n">
        <x:f>X28*'Scenarios'!$C$49</x:f>
        <x:v>187.14330159123125</x:v>
      </x:c>
      <x:c r="Y48" s="114" t="n">
        <x:f>Y28*'Scenarios'!$C$49</x:f>
        <x:v>193.66645286849433</x:v>
      </x:c>
      <x:c r="Z48" s="114" t="n">
        <x:f>Z28*'Scenarios'!$C$49</x:f>
        <x:v>199.99390960743946</x:v>
      </x:c>
      <x:c r="AA48" s="114" t="n">
        <x:f>AA28*'Scenarios'!$C$49</x:f>
        <x:v>211.67554264421628</x:v>
      </x:c>
      <x:c r="AB48" s="114" t="n">
        <x:f>AB28*'Scenarios'!$C$49</x:f>
        <x:v>224.2264066898898</x:v>
      </x:c>
      <x:c r="AC48" s="114" t="n">
        <x:f>AC28*'Scenarios'!$C$49</x:f>
        <x:v>231.08631261419313</x:v>
      </x:c>
      <x:c r="AD48" s="114" t="n">
        <x:f>AD28*'Scenarios'!$C$49</x:f>
        <x:v>237.7404213607673</x:v>
      </x:c>
      <x:c r="AE48" s="114" t="n">
        <x:f>AE28*'Scenarios'!$C$49</x:f>
        <x:v>244.19490684494428</x:v>
      </x:c>
      <x:c r="AF48" s="114" t="n">
        <x:f>AF28*'Scenarios'!$C$49</x:f>
        <x:v>250.45575776459597</x:v>
      </x:c>
      <x:c r="AG48" s="114" t="n">
        <x:f>AG28*'Scenarios'!$C$49</x:f>
        <x:v>256.52878315665805</x:v>
      </x:c>
      <x:c r="AH48" s="114" t="n">
        <x:f>AH28*'Scenarios'!$C$49</x:f>
        <x:v>262.41961778695827</x:v>
      </x:c>
      <x:c r="AI48" s="114" t="n">
        <x:f>AI28*'Scenarios'!$C$49</x:f>
        <x:v>268.13372737834965</x:v>
      </x:c>
      <x:c r="AJ48" s="114" t="n">
        <x:f>AJ28*'Scenarios'!$C$49</x:f>
        <x:v>273.6764136819991</x:v>
      </x:c>
      <x:c r="AK48" s="114" t="n">
        <x:f>AK28*'Scenarios'!$C$49</x:f>
        <x:v>279.0528193965392</x:v>
      </x:c>
      <x:c r="AL48" s="114" t="n">
        <x:f>AL28*'Scenarios'!$C$49</x:f>
        <x:v>284.267932939643</x:v>
      </x:c>
    </x:row>
    <x:row r="49">
      <x:c r="A49" s="84" t="str">
        <x:v>Cash cost of service</x:v>
      </x:c>
      <x:c r="B49" s="84" t="str">
        <x:v>$</x:v>
      </x:c>
      <x:c r="C49" s="114" t="n">
        <x:f>SUM(C45,C47,C48)</x:f>
        <x:v>11.781000000000004</x:v>
      </x:c>
      <x:c r="D49" s="114" t="n">
        <x:f>SUM(D45,D47,D48)</x:f>
        <x:v>25.800390000000007</x:v>
      </x:c>
      <x:c r="E49" s="114" t="n">
        <x:f>SUM(E45,E47,E48)</x:f>
        <x:v>34.05602987500001</x:v>
      </x:c>
      <x:c r="F49" s="114" t="n">
        <x:f>SUM(F45,F47,F48)</x:f>
        <x:v>53.15200055375</x:v>
      </x:c>
      <x:c r="G49" s="114" t="n">
        <x:f>SUM(G45,G47,G48)</x:f>
        <x:v>74.1144521121375</x:v>
      </x:c>
      <x:c r="H49" s="114" t="n">
        <x:f>SUM(H45,H47,H48)</x:f>
        <x:v>89.41916572377338</x:v>
      </x:c>
      <x:c r="I49" s="114" t="n">
        <x:f>SUM(I45,I47,I48)</x:f>
        <x:v>104.26473792706017</x:v>
      </x:c>
      <x:c r="J49" s="114" t="n">
        <x:f>SUM(J45,J47,J48)</x:f>
        <x:v>118.66494296424835</x:v>
      </x:c>
      <x:c r="K49" s="114" t="n">
        <x:f>SUM(K45,K47,K48)</x:f>
        <x:v>132.6331418503209</x:v>
      </x:c>
      <x:c r="L49" s="114" t="n">
        <x:f>SUM(L45,L47,L48)</x:f>
        <x:v>146.18229476981128</x:v>
      </x:c>
      <x:c r="M49" s="114" t="n">
        <x:f>SUM(M45,M47,M48)</x:f>
        <x:v>159.32497310171695</x:v>
      </x:c>
      <x:c r="N49" s="114" t="n">
        <x:f>SUM(N45,N47,N48)</x:f>
        <x:v>172.07337108366542</x:v>
      </x:c>
      <x:c r="O49" s="114" t="n">
        <x:f>SUM(O45,O47,O48)</x:f>
        <x:v>196.22031712615546</x:v>
      </x:c>
      <x:c r="P49" s="114" t="n">
        <x:f>SUM(P45,P47,P48)</x:f>
        <x:v>222.23467478737078</x:v>
      </x:c>
      <x:c r="Q49" s="114" t="n">
        <x:f>SUM(Q45,Q47,Q48)</x:f>
        <x:v>242.12543329374967</x:v>
      </x:c>
      <x:c r="R49" s="114" t="n">
        <x:f>SUM(R45,R47,R48)</x:f>
        <x:v>261.41946904493716</x:v>
      </x:c>
      <x:c r="S49" s="114" t="n">
        <x:f>SUM(S45,S47,S48)</x:f>
        <x:v>280.1346837235891</x:v>
      </x:c>
      <x:c r="T49" s="114" t="n">
        <x:f>SUM(T45,T47,T48)</x:f>
        <x:v>298.2884419618814</x:v>
      </x:c>
      <x:c r="U49" s="114" t="n">
        <x:f>SUM(U45,U47,U48)</x:f>
        <x:v>327.678587453025</x:v>
      </x:c>
      <x:c r="V49" s="114" t="n">
        <x:f>SUM(V45,V47,V48)</x:f>
        <x:v>358.7788485794342</x:v>
      </x:c>
      <x:c r="W49" s="114" t="n">
        <x:f>SUM(W45,W47,W48)</x:f>
        <x:v>383.6029334470512</x:v>
      </x:c>
      <x:c r="X49" s="114" t="n">
        <x:f>SUM(X45,X47,X48)</x:f>
        <x:v>407.68229576863973</x:v>
      </x:c>
      <x:c r="Y49" s="114" t="n">
        <x:f>SUM(Y45,Y47,Y48)</x:f>
        <x:v>431.0392772205806</x:v>
      </x:c>
      <x:c r="Z49" s="114" t="n">
        <x:f>SUM(Z45,Z47,Z48)</x:f>
        <x:v>453.69554922896316</x:v>
      </x:c>
      <x:c r="AA49" s="114" t="n">
        <x:f>SUM(AA45,AA47,AA48)</x:f>
        <x:v>481.21613307709424</x:v>
      </x:c>
      <x:c r="AB49" s="114" t="n">
        <x:f>SUM(AB45,AB47,AB48)</x:f>
        <x:v>509.13077940978144</x:v>
      </x:c>
      <x:c r="AC49" s="114" t="n">
        <x:f>SUM(AC45,AC47,AC48)</x:f>
        <x:v>533.693554152488</x:v>
      </x:c>
      <x:c r="AD49" s="114" t="n">
        <x:f>SUM(AD45,AD47,AD48)</x:f>
        <x:v>557.5194456529133</x:v>
      </x:c>
      <x:c r="AE49" s="114" t="n">
        <x:f>SUM(AE45,AE47,AE48)</x:f>
        <x:v>580.6305604083259</x:v>
      </x:c>
      <x:c r="AF49" s="114" t="n">
        <x:f>SUM(AF45,AF47,AF48)</x:f>
        <x:v>603.0483417210761</x:v>
      </x:c>
      <x:c r="AG49" s="114" t="n">
        <x:f>SUM(AG45,AG47,AG48)</x:f>
        <x:v>624.7935895944438</x:v>
      </x:c>
      <x:c r="AH49" s="114" t="n">
        <x:f>SUM(AH45,AH47,AH48)</x:f>
        <x:v>645.8864800316104</x:v>
      </x:c>
      <x:c r="AI49" s="114" t="n">
        <x:f>SUM(AI45,AI47,AI48)</x:f>
        <x:v>666.3465837556623</x:v>
      </x:c>
      <x:c r="AJ49" s="114" t="n">
        <x:f>SUM(AJ45,AJ47,AJ48)</x:f>
        <x:v>686.1928843679923</x:v>
      </x:c>
      <x:c r="AK49" s="114" t="n">
        <x:f>SUM(AK45,AK47,AK48)</x:f>
        <x:v>705.4437959619527</x:v>
      </x:c>
      <x:c r="AL49" s="114" t="n">
        <x:f>SUM(AL45,AL47,AL48)</x:f>
        <x:v>795.4587697172713</x:v>
      </x:c>
    </x:row>
    <x:row r="50">
      <x:c r="A50" s="84" t="str">
        <x:v>Normalized cost of service</x:v>
      </x:c>
      <x:c r="B50" s="84" t="str">
        <x:v>$</x:v>
      </x:c>
      <x:c r="C50" s="114" t="n">
        <x:f>C49+C46</x:f>
        <x:v>266.781</x:v>
      </x:c>
      <x:c r="D50" s="114" t="n">
        <x:f>D49+D46</x:f>
        <x:v>727.0503899999999</x:v>
      </x:c>
      <x:c r="E50" s="114" t="n">
        <x:f>E49+E46</x:f>
        <x:v>782.589936125</x:v>
      </x:c>
      <x:c r="F50" s="114" t="n">
        <x:f>F49+F46</x:f>
        <x:v>1087.5512958662498</x:v>
      </x:c>
      <x:c r="G50" s="114" t="n">
        <x:f>G49+G46</x:f>
        <x:v>1573.0031748152624</x:v>
      </x:c>
      <x:c r="H50" s="114" t="n">
        <x:f>H49+H46</x:f>
        <x:v>1675.9651329958044</x:v>
      </x:c>
      <x:c r="I50" s="114" t="n">
        <x:f>I49+I46</x:f>
        <x:v>1775.8382324309302</x:v>
      </x:c>
      <x:c r="J50" s="114" t="n">
        <x:f>J49+J46</x:f>
        <x:v>1872.7151388830025</x:v>
      </x:c>
      <x:c r="K50" s="114" t="n">
        <x:f>K49+K46</x:f>
        <x:v>1966.685738141512</x:v>
      </x:c>
      <x:c r="L50" s="114" t="n">
        <x:f>L49+L46</x:f>
        <x:v>2057.837219422267</x:v>
      </x:c>
      <x:c r="M50" s="114" t="n">
        <x:f>M49+M46</x:f>
        <x:v>2146.2541562645984</x:v>
      </x:c>
      <x:c r="N50" s="114" t="n">
        <x:f>N49+N46</x:f>
        <x:v>2232.018585001661</x:v>
      </x:c>
      <x:c r="O50" s="114" t="n">
        <x:f>O49+O46</x:f>
        <x:v>2581.9910808766112</x:v>
      </x:c>
      <x:c r="P50" s="114" t="n">
        <x:f>P49+P46</x:f>
        <x:v>3122.9562218753126</x:v>
      </x:c>
      <x:c r="Q50" s="114" t="n">
        <x:f>Q49+Q46</x:f>
        <x:v>3256.770646469053</x:v>
      </x:c>
      <x:c r="R50" s="114" t="n">
        <x:f>R49+R46</x:f>
        <x:v>3386.570638324982</x:v>
      </x:c>
      <x:c r="S50" s="114" t="n">
        <x:f>S49+S46</x:f>
        <x:v>3512.476630425233</x:v>
      </x:c>
      <x:c r="T50" s="114" t="n">
        <x:f>T49+T46</x:f>
        <x:v>3634.6054427624754</x:v>
      </x:c>
      <x:c r="U50" s="114" t="n">
        <x:f>U49+U46</x:f>
        <x:v>4019.8513907296015</x:v>
      </x:c>
      <x:c r="V50" s="114" t="n">
        <x:f>V49+V46</x:f>
        <x:v>4595.031780257714</x:v>
      </x:c>
      <x:c r="W50" s="114" t="n">
        <x:f>W49+W46</x:f>
        <x:v>4762.034995924982</x:v>
      </x:c>
      <x:c r="X50" s="114" t="n">
        <x:f>X49+X46</x:f>
        <x:v>4924.0281151222325</x:v>
      </x:c>
      <x:c r="Y50" s="114" t="n">
        <x:f>Y49+Y46</x:f>
        <x:v>5081.161440743566</x:v>
      </x:c>
      <x:c r="Z50" s="114" t="n">
        <x:f>Z49+Z46</x:f>
        <x:v>5233.580766596259</x:v>
      </x:c>
      <x:c r="AA50" s="114" t="n">
        <x:f>AA49+AA46</x:f>
        <x:v>5506.971512673371</x:v>
      </x:c>
      <x:c r="AB50" s="114" t="n">
        <x:f>AB49+AB46</x:f>
        <x:v>5866.98021636817</x:v>
      </x:c>
      <x:c r="AC50" s="114" t="n">
        <x:f>AC49+AC46</x:f>
        <x:v>6032.2254767521235</x:v>
      </x:c>
      <x:c r="AD50" s="114" t="n">
        <x:f>AD49+AD46</x:f>
        <x:v>6192.51337932456</x:v>
      </x:c>
      <x:c r="AE50" s="114" t="n">
        <x:f>AE49+AE46</x:f>
        <x:v>6347.992644819824</x:v>
      </x:c>
      <x:c r="AF50" s="114" t="n">
        <x:f>AF49+AF46</x:f>
        <x:v>6498.807532350228</x:v>
      </x:c>
      <x:c r="AG50" s="114" t="n">
        <x:f>AG49+AG46</x:f>
        <x:v>6645.097973254722</x:v>
      </x:c>
      <x:c r="AH50" s="114" t="n">
        <x:f>AH49+AH46</x:f>
        <x:v>6786.99970093208</x:v>
      </x:c>
      <x:c r="AI50" s="114" t="n">
        <x:f>AI49+AI46</x:f>
        <x:v>6924.644376779118</x:v>
      </x:c>
      <x:c r="AJ50" s="114" t="n">
        <x:f>AJ49+AJ46</x:f>
        <x:v>7058.159712350744</x:v>
      </x:c>
      <x:c r="AK50" s="114" t="n">
        <x:f>AK49+AK46</x:f>
        <x:v>7187.669587855223</x:v>
      </x:c>
      <x:c r="AL50" s="114" t="n">
        <x:f>AL49+AL46</x:f>
        <x:v>7295.458769717271</x:v>
      </x:c>
    </x:row>
    <x:row r="51">
      <x:c r="A51" s="84" t="str">
        <x:v>Cash gross profit</x:v>
      </x:c>
      <x:c r="B51" s="84" t="str">
        <x:v>$</x:v>
      </x:c>
      <x:c r="C51" s="114" t="n">
        <x:f>C28-C49</x:f>
        <x:v>324.8190000000001</x:v>
      </x:c>
      <x:c r="D51" s="114" t="n">
        <x:f>D28-D49</x:f>
        <x:v>711.3536100000001</x:v>
      </x:c>
      <x:c r="E51" s="114" t="n">
        <x:f>E28-E49</x:f>
        <x:v>768.973395125</x:v>
      </x:c>
      <x:c r="F51" s="114" t="n">
        <x:f>F28-F49</x:f>
        <x:v>1130.57658669625</x:v>
      </x:c>
      <x:c r="G51" s="114" t="n">
        <x:f>G28-G49</x:f>
        <x:v>1548.5883225203625</x:v>
      </x:c>
      <x:c r="H51" s="114" t="n">
        <x:f>H28-H49</x:f>
        <x:v>1655.4067306697514</x:v>
      </x:c>
      <x:c r="I51" s="114" t="n">
        <x:f>I28-I49</x:f>
        <x:v>1759.0205865746589</x:v>
      </x:c>
      <x:c r="J51" s="114" t="n">
        <x:f>J28-J49</x:f>
        <x:v>1859.526026802419</x:v>
      </x:c>
      <x:c r="K51" s="114" t="n">
        <x:f>K28-K49</x:f>
        <x:v>1957.0163038233463</x:v>
      </x:c>
      <x:c r="L51" s="114" t="n">
        <x:f>L28-L49</x:f>
        <x:v>2051.5818725336467</x:v>
      </x:c>
      <x:c r="M51" s="114" t="n">
        <x:f>M28-M49</x:f>
        <x:v>2143.310474182637</x:v>
      </x:c>
      <x:c r="N51" s="114" t="n">
        <x:f>N28-N49</x:f>
        <x:v>2232.2872177821578</x:v>
      </x:c>
      <x:c r="O51" s="114" t="n">
        <x:f>O28-O49</x:f>
        <x:v>2643.4136590736925</x:v>
      </x:c>
      <x:c r="P51" s="114" t="n">
        <x:f>P28-P49</x:f>
        <x:v>3113.6664871264816</x:v>
      </x:c>
      <x:c r="Q51" s="114" t="n">
        <x:f>Q28-Q49</x:f>
        <x:v>3252.4929437626874</x:v>
      </x:c>
      <x:c r="R51" s="114" t="n">
        <x:f>R28-R49</x:f>
        <x:v>3387.154606699807</x:v>
      </x:c>
      <x:c r="S51" s="114" t="n">
        <x:f>S28-S49</x:f>
        <x:v>3517.7764197488127</x:v>
      </x:c>
      <x:c r="T51" s="114" t="n">
        <x:f>T28-T49</x:f>
        <x:v>3644.4795784063485</x:v>
      </x:c>
      <x:c r="U51" s="114" t="n">
        <x:f>U28-U49</x:f>
        <x:v>4092.2006423041576</x:v>
      </x:c>
      <x:c r="V51" s="114" t="n">
        <x:f>V28-V49</x:f>
        <x:v>4597.950254285033</x:v>
      </x:c>
      <x:c r="W51" s="114" t="n">
        <x:f>W28-W49</x:f>
        <x:v>4771.208591331482</x:v>
      </x:c>
      <x:c r="X51" s="114" t="n">
        <x:f>X28-X49</x:f>
        <x:v>4939.269178266538</x:v>
      </x:c>
      <x:c r="Y51" s="114" t="n">
        <x:f>Y28-Y49</x:f>
        <x:v>5102.287947593542</x:v>
      </x:c>
      <x:c r="Z51" s="114" t="n">
        <x:f>Z28-Z49</x:f>
        <x:v>5260.416153840735</x:v>
      </x:c>
      <x:c r="AA51" s="114" t="n">
        <x:f>AA28-AA49</x:f>
        <x:v>5566.656513900513</x:v>
      </x:c>
      <x:c r="AB51" s="114" t="n">
        <x:f>AB28-AB49</x:f>
        <x:v>5897.337983158499</x:v>
      </x:c>
      <x:c r="AC51" s="114" t="n">
        <x:f>AC28-AC49</x:f>
        <x:v>6068.772520538743</x:v>
      </x:c>
      <x:c r="AD51" s="114" t="n">
        <x:f>AD28-AD49</x:f>
        <x:v>6235.064021797581</x:v>
      </x:c>
      <x:c r="AE51" s="114" t="n">
        <x:f>AE28-AE49</x:f>
        <x:v>6396.366778018653</x:v>
      </x:c>
      <x:c r="AF51" s="114" t="n">
        <x:f>AF28-AF49</x:f>
        <x:v>6552.830451553094</x:v>
      </x:c>
      <x:c r="AG51" s="114" t="n">
        <x:f>AG28-AG49</x:f>
        <x:v>6704.6002148815</x:v>
      </x:c>
      <x:c r="AH51" s="114" t="n">
        <x:f>AH28-AH49</x:f>
        <x:v>6851.816885310054</x:v>
      </x:c>
      <x:c r="AI51" s="114" t="n">
        <x:f>AI28-AI49</x:f>
        <x:v>6994.617055625755</x:v>
      </x:c>
      <x:c r="AJ51" s="114" t="n">
        <x:f>AJ28-AJ49</x:f>
        <x:v>7133.133220831981</x:v>
      </x:c>
      <x:c r="AK51" s="114" t="n">
        <x:f>AK28-AK49</x:f>
        <x:v>7267.493901082023</x:v>
      </x:c>
      <x:c r="AL51" s="114" t="n">
        <x:f>AL28-AL49</x:f>
        <x:v>7326.482171415386</x:v>
      </x:c>
    </x:row>
    <x:row r="52">
      <x:c r="A52" s="84" t="str">
        <x:v>Cash gross margin</x:v>
      </x:c>
      <x:c r="B52" s="84" t="str">
        <x:v>%</x:v>
      </x:c>
      <x:c r="C52" s="116" t="n">
        <x:f>IF(C28=0,0,C51/C28)</x:f>
        <x:v>0.965</x:v>
      </x:c>
      <x:c r="D52" s="116" t="n">
        <x:f>IF(D28=0,0,D51/D28)</x:f>
        <x:v>0.965</x:v>
      </x:c>
      <x:c r="E52" s="116" t="n">
        <x:f>IF(E28=0,0,E51/E28)</x:f>
        <x:v>0.9575905579362798</x:v>
      </x:c>
      <x:c r="F52" s="116" t="n">
        <x:f>IF(F28=0,0,F51/F28)</x:f>
        <x:v>0.9550978145444379</x:v>
      </x:c>
      <x:c r="G52" s="116" t="n">
        <x:f>IF(G28=0,0,G51/G28)</x:f>
        <x:v>0.9543265388641968</x:v>
      </x:c>
      <x:c r="H52" s="116" t="n">
        <x:f>IF(H28=0,0,H51/H28)</x:f>
        <x:v>0.9487518119093723</x:v>
      </x:c>
      <x:c r="I52" s="116" t="n">
        <x:f>IF(I28=0,0,I51/I28)</x:f>
        <x:v>0.9440425271663948</x:v>
      </x:c>
      <x:c r="J52" s="116" t="n">
        <x:f>IF(J28=0,0,J51/J28)</x:f>
        <x:v>0.9400134037725159</x:v>
      </x:c>
      <x:c r="K52" s="116" t="n">
        <x:f>IF(K28=0,0,K51/K28)</x:f>
        <x:v>0.9365285205492626</x:v>
      </x:c>
      <x:c r="L52" s="116" t="n">
        <x:f>IF(L28=0,0,L51/L28)</x:f>
        <x:v>0.933485904928021</x:v>
      </x:c>
      <x:c r="M52" s="116" t="n">
        <x:f>IF(M28=0,0,M51/M28)</x:f>
        <x:v>0.9308075564937477</x:v>
      </x:c>
      <x:c r="N52" s="116" t="n">
        <x:f>IF(N28=0,0,N51/N28)</x:f>
        <x:v>0.9284327933669736</x:v>
      </x:c>
      <x:c r="O52" s="116" t="n">
        <x:f>IF(O28=0,0,O51/O28)</x:f>
        <x:v>0.9308994332471159</x:v>
      </x:c>
      <x:c r="P52" s="116" t="n">
        <x:f>IF(P28=0,0,P51/P28)</x:f>
        <x:v>0.9333809174790204</x:v>
      </x:c>
      <x:c r="Q52" s="116" t="n">
        <x:f>IF(Q28=0,0,Q51/Q28)</x:f>
        <x:v>0.9307147713514586</x:v>
      </x:c>
      <x:c r="R52" s="116" t="n">
        <x:f>IF(R28=0,0,R51/R28)</x:f>
        <x:v>0.9283502366629143</x:v>
      </x:c>
      <x:c r="S52" s="116" t="n">
        <x:f>IF(S28=0,0,S51/S28)</x:f>
        <x:v>0.926239799697401</x:v>
      </x:c>
      <x:c r="T52" s="116" t="n">
        <x:f>IF(T28=0,0,T51/T28)</x:f>
        <x:v>0.9243454242245723</x:v>
      </x:c>
      <x:c r="U52" s="116" t="n">
        <x:f>IF(U28=0,0,U51/U28)</x:f>
        <x:v>0.9258625472734858</x:v>
      </x:c>
      <x:c r="V52" s="116" t="n">
        <x:f>IF(V28=0,0,V51/V28)</x:f>
        <x:v>0.9276178219277511</x:v>
      </x:c>
      <x:c r="W52" s="116" t="n">
        <x:f>IF(W28=0,0,W51/W28)</x:f>
        <x:v>0.9255835190863682</x:v>
      </x:c>
      <x:c r="X52" s="116" t="n">
        <x:f>IF(X28=0,0,X51/X28)</x:f>
        <x:v>0.9237542555326438</x:v>
      </x:c>
      <x:c r="Y52" s="116" t="n">
        <x:f>IF(Y28=0,0,Y51/Y28)</x:f>
        <x:v>0.9221012494457961</x:v>
      </x:c>
      <x:c r="Z52" s="116" t="n">
        <x:f>IF(Z28=0,0,Z51/Z28)</x:f>
        <x:v>0.9206008610253048</x:v>
      </x:c>
      <x:c r="AA52" s="116" t="n">
        <x:f>IF(AA28=0,0,AA51/AA28)</x:f>
        <x:v>0.9204321649667045</x:v>
      </x:c>
      <x:c r="AB52" s="116" t="n">
        <x:f>IF(AB28=0,0,AB51/AB28)</x:f>
        <x:v>0.9205286409285985</x:v>
      </x:c>
      <x:c r="AC52" s="116" t="n">
        <x:f>IF(AC28=0,0,AC51/AC28)</x:f>
        <x:v>0.9191675431399401</x:v>
      </x:c>
      <x:c r="AD52" s="116" t="n">
        <x:f>IF(AD28=0,0,AD51/AD28)</x:f>
        <x:v>0.9179223268547967</x:v>
      </x:c>
      <x:c r="AE52" s="116" t="n">
        <x:f>IF(AE28=0,0,AE51/AE28)</x:f>
        <x:v>0.9167793060188792</x:v>
      </x:c>
      <x:c r="AF52" s="116" t="n">
        <x:f>IF(AF28=0,0,AF51/AF28)</x:f>
        <x:v>0.9157268647020848</x:v>
      </x:c>
      <x:c r="AG52" s="116" t="n">
        <x:f>IF(AG28=0,0,AG51/AG28)</x:f>
        <x:v>0.9147550798521847</x:v>
      </x:c>
      <x:c r="AH52" s="116" t="n">
        <x:f>IF(AH28=0,0,AH51/AH28)</x:f>
        <x:v>0.9138554236464944</x:v>
      </x:c>
      <x:c r="AI52" s="116" t="n">
        <x:f>IF(AI28=0,0,AI51/AI28)</x:f>
        <x:v>0.9130205265131024</x:v>
      </x:c>
      <x:c r="AJ52" s="116" t="n">
        <x:f>IF(AJ28=0,0,AJ51/AJ28)</x:f>
        <x:v>0.9122439868684254</x:v>
      </x:c>
      <x:c r="AK52" s="116" t="n">
        <x:f>IF(AK28=0,0,AK51/AK28)</x:f>
        <x:v>0.9115202171686979</x:v>
      </x:c>
      <x:c r="AL52" s="116" t="n">
        <x:f>IF(AL28=0,0,AL51/AL28)</x:f>
        <x:v>0.9020605080136991</x:v>
      </x:c>
    </x:row>
    <x:row r="53">
      <x:c r="A53" s="84" t="str">
        <x:v>Normalized gross profit</x:v>
      </x:c>
      <x:c r="B53" s="84" t="str">
        <x:v>$</x:v>
      </x:c>
      <x:c r="C53" s="114" t="n">
        <x:f>C28-C50</x:f>
        <x:v>69.81900000000007</x:v>
      </x:c>
      <x:c r="D53" s="114" t="n">
        <x:f>D28-D50</x:f>
        <x:v>10.10361000000023</x:v>
      </x:c>
      <x:c r="E53" s="114" t="n">
        <x:f>E28-E50</x:f>
        <x:v>20.439488875000052</x:v>
      </x:c>
      <x:c r="F53" s="114" t="n">
        <x:f>F28-F50</x:f>
        <x:v>96.17729138375012</x:v>
      </x:c>
      <x:c r="G53" s="114" t="n">
        <x:f>G28-G50</x:f>
        <x:v>49.69959981723764</x:v>
      </x:c>
      <x:c r="H53" s="114" t="n">
        <x:f>H28-H50</x:f>
        <x:v>68.86076339772035</x:v>
      </x:c>
      <x:c r="I53" s="114" t="n">
        <x:f>I28-I50</x:f>
        <x:v>87.44709207078881</x:v>
      </x:c>
      <x:c r="J53" s="114" t="n">
        <x:f>J28-J50</x:f>
        <x:v>105.47583088366491</x:v>
      </x:c>
      <x:c r="K53" s="114" t="n">
        <x:f>K28-K50</x:f>
        <x:v>122.96370753215524</x:v>
      </x:c>
      <x:c r="L53" s="114" t="n">
        <x:f>L28-L50</x:f>
        <x:v>139.9269478811907</x:v>
      </x:c>
      <x:c r="M53" s="114" t="n">
        <x:f>M28-M50</x:f>
        <x:v>156.38129101975528</x:v>
      </x:c>
      <x:c r="N53" s="114" t="n">
        <x:f>N28-N50</x:f>
        <x:v>172.34200386416205</x:v>
      </x:c>
      <x:c r="O53" s="114" t="n">
        <x:f>O28-O50</x:f>
        <x:v>257.64289532323664</x:v>
      </x:c>
      <x:c r="P53" s="114" t="n">
        <x:f>P28-P50</x:f>
        <x:v>212.9449400385397</x:v>
      </x:c>
      <x:c r="Q53" s="114" t="n">
        <x:f>Q28-Q50</x:f>
        <x:v>237.84773058738392</x:v>
      </x:c>
      <x:c r="R53" s="114" t="n">
        <x:f>R28-R50</x:f>
        <x:v>262.0034374197621</x:v>
      </x:c>
      <x:c r="S53" s="114" t="n">
        <x:f>S28-S50</x:f>
        <x:v>285.4344730471689</x:v>
      </x:c>
      <x:c r="T53" s="114" t="n">
        <x:f>T28-T50</x:f>
        <x:v>308.16257760575445</x:v>
      </x:c>
      <x:c r="U53" s="114" t="n">
        <x:f>U28-U50</x:f>
        <x:v>400.0278390275812</x:v>
      </x:c>
      <x:c r="V53" s="114" t="n">
        <x:f>V28-V50</x:f>
        <x:v>361.6973226067539</x:v>
      </x:c>
      <x:c r="W53" s="114" t="n">
        <x:f>W28-W50</x:f>
        <x:v>392.776528853552</x:v>
      </x:c>
      <x:c r="X53" s="114" t="n">
        <x:f>X28-X50</x:f>
        <x:v>422.92335891294533</x:v>
      </x:c>
      <x:c r="Y53" s="114" t="n">
        <x:f>Y28-Y50</x:f>
        <x:v>452.1657840705566</x:v>
      </x:c>
      <x:c r="Z53" s="114" t="n">
        <x:f>Z28-Z50</x:f>
        <x:v>480.5309364734394</x:v>
      </x:c>
      <x:c r="AA53" s="114" t="n">
        <x:f>AA28-AA50</x:f>
        <x:v>540.9011343042366</x:v>
      </x:c>
      <x:c r="AB53" s="114" t="n">
        <x:f>AB28-AB50</x:f>
        <x:v>539.4885462001102</x:v>
      </x:c>
      <x:c r="AC53" s="114" t="n">
        <x:f>AC28-AC50</x:f>
        <x:v>570.2405979391078</x:v>
      </x:c>
      <x:c r="AD53" s="114" t="n">
        <x:f>AD28-AD50</x:f>
        <x:v>600.0700881259336</x:v>
      </x:c>
      <x:c r="AE53" s="114" t="n">
        <x:f>AE28-AE50</x:f>
        <x:v>629.0046936071549</x:v>
      </x:c>
      <x:c r="AF53" s="114" t="n">
        <x:f>AF28-AF50</x:f>
        <x:v>657.0712609239417</x:v>
      </x:c>
      <x:c r="AG53" s="114" t="n">
        <x:f>AG28-AG50</x:f>
        <x:v>684.2958312212213</x:v>
      </x:c>
      <x:c r="AH53" s="114" t="n">
        <x:f>AH28-AH50</x:f>
        <x:v>710.7036644095851</x:v>
      </x:c>
      <x:c r="AI53" s="114" t="n">
        <x:f>AI28-AI50</x:f>
        <x:v>736.3192626022992</x:v>
      </x:c>
      <x:c r="AJ53" s="114" t="n">
        <x:f>AJ28-AJ50</x:f>
        <x:v>761.1663928492299</x:v>
      </x:c>
      <x:c r="AK53" s="114" t="n">
        <x:f>AK28-AK50</x:f>
        <x:v>785.2681091887525</x:v>
      </x:c>
      <x:c r="AL53" s="114" t="n">
        <x:f>AL28-AL50</x:f>
        <x:v>826.4821714153859</x:v>
      </x:c>
    </x:row>
    <x:row r="54">
      <x:c r="A54" s="84" t="str">
        <x:v>Normalized gross margin</x:v>
      </x:c>
      <x:c r="B54" s="84" t="str">
        <x:v>%</x:v>
      </x:c>
      <x:c r="C54" s="117" t="n">
        <x:f>IF(C28=0,0,C53/C28)</x:f>
        <x:v>0.2074242424242426</x:v>
      </x:c>
      <x:c r="D54" s="117" t="n">
        <x:f>IF(D28=0,0,D53/D28)</x:f>
        <x:v>0.013706240487062716</x:v>
      </x:c>
      <x:c r="E54" s="117" t="n">
        <x:f>IF(E28=0,0,E53/E28)</x:f>
        <x:v>0.025452976240565594</x:v>
      </x:c>
      <x:c r="F54" s="117" t="n">
        <x:f>IF(F28=0,0,F53/F28)</x:f>
        <x:v>0.08124944553986492</x:v>
      </x:c>
      <x:c r="G54" s="117" t="n">
        <x:f>IF(G28=0,0,G53/G28)</x:f>
        <x:v>0.030627666750920116</x:v>
      </x:c>
      <x:c r="H54" s="117" t="n">
        <x:f>IF(H28=0,0,H53/H28)</x:f>
        <x:v>0.0394656931330813</x:v>
      </x:c>
      <x:c r="I54" s="117" t="n">
        <x:f>IF(I28=0,0,I53/I28)</x:f>
        <x:v>0.04693167005658351</x:v>
      </x:c>
      <x:c r="J54" s="117" t="n">
        <x:f>IF(J28=0,0,J53/J28)</x:f>
        <x:v>0.0533193369576983</x:v>
      </x:c>
      <x:c r="K54" s="117" t="n">
        <x:f>IF(K28=0,0,K53/K28)</x:f>
        <x:v>0.05884417971958634</x:v>
      </x:c>
      <x:c r="L54" s="117" t="n">
        <x:f>IF(L28=0,0,L53/L28)</x:f>
        <x:v>0.06366786298680709</x:v>
      </x:c>
      <x:c r="M54" s="117" t="n">
        <x:f>IF(M28=0,0,M53/M28)</x:f>
        <x:v>0.06791404657831782</x:v>
      </x:c>
      <x:c r="N54" s="117" t="n">
        <x:f>IF(N28=0,0,N53/N28)</x:f>
        <x:v>0.07167893395951005</x:v>
      </x:c>
      <x:c r="O54" s="117" t="n">
        <x:f>IF(O28=0,0,O53/O28)</x:f>
        <x:v>0.09073102290036279</x:v>
      </x:c>
      <x:c r="P54" s="117" t="n">
        <x:f>IF(P28=0,0,P53/P28)</x:f>
        <x:v>0.0638343073439173</x:v>
      </x:c>
      <x:c r="Q54" s="117" t="n">
        <x:f>IF(Q28=0,0,Q53/Q28)</x:f>
        <x:v>0.06806114571735475</x:v>
      </x:c>
      <x:c r="R54" s="117" t="n">
        <x:f>IF(R28=0,0,R53/R28)</x:f>
        <x:v>0.07180981719996521</x:v>
      </x:c>
      <x:c r="S54" s="117" t="n">
        <x:f>IF(S28=0,0,S53/S28)</x:f>
        <x:v>0.07515564879499109</x:v>
      </x:c>
      <x:c r="T54" s="117" t="n">
        <x:f>IF(T28=0,0,T53/T28)</x:f>
        <x:v>0.07815894214769806</x:v>
      </x:c>
      <x:c r="U54" s="117" t="n">
        <x:f>IF(U28=0,0,U53/U28)</x:f>
        <x:v>0.09050650894132185</x:v>
      </x:c>
      <x:c r="V54" s="117" t="n">
        <x:f>IF(V28=0,0,V53/V28)</x:f>
        <x:v>0.07297096837463458</x:v>
      </x:c>
      <x:c r="W54" s="117" t="n">
        <x:f>IF(W28=0,0,W53/W28)</x:f>
        <x:v>0.07619609891952876</x:v>
      </x:c>
      <x:c r="X54" s="117" t="n">
        <x:f>IF(X28=0,0,X53/X28)</x:f>
        <x:v>0.07909616553781407</x:v>
      </x:c>
      <x:c r="Y54" s="117" t="n">
        <x:f>IF(Y28=0,0,Y53/Y28)</x:f>
        <x:v>0.08171679817575687</x:v>
      </x:c>
      <x:c r="Z54" s="117" t="n">
        <x:f>IF(Z28=0,0,Z53/Z28)</x:f>
        <x:v>0.08409547475512101</x:v>
      </x:c>
      <x:c r="AA54" s="117" t="n">
        <x:f>IF(AA28=0,0,AA53/AA28)</x:f>
        <x:v>0.08943659463043573</x:v>
      </x:c>
      <x:c r="AB54" s="117" t="n">
        <x:f>IF(AB28=0,0,AB53/AB28)</x:f>
        <x:v>0.08420997060849407</x:v>
      </x:c>
      <x:c r="AC54" s="117" t="n">
        <x:f>IF(AC28=0,0,AC53/AC28)</x:f>
        <x:v>0.08636781946142381</x:v>
      </x:c>
      <x:c r="AD54" s="117" t="n">
        <x:f>IF(AD28=0,0,AD53/AD28)</x:f>
        <x:v>0.0883419528080031</x:v>
      </x:c>
      <x:c r="AE54" s="117" t="n">
        <x:f>IF(AE28=0,0,AE53/AE28)</x:f>
        <x:v>0.0901540681609274</x:v>
      </x:c>
      <x:c r="AF54" s="117" t="n">
        <x:f>IF(AF28=0,0,AF53/AF28)</x:f>
        <x:v>0.09182258111212348</x:v>
      </x:c>
      <x:c r="AG54" s="117" t="n">
        <x:f>IF(AG28=0,0,AG53/AG28)</x:f>
        <x:v>0.09336322340919011</x:v>
      </x:c>
      <x:c r="AH54" s="117" t="n">
        <x:f>IF(AH28=0,0,AH53/AH28)</x:f>
        <x:v>0.09478951483928158</x:v>
      </x:c>
      <x:c r="AI54" s="117" t="n">
        <x:f>IF(AI28=0,0,AI53/AI28)</x:f>
        <x:v>0.09611313892905425</x:v>
      </x:c>
      <x:c r="AJ54" s="117" t="n">
        <x:f>IF(AJ28=0,0,AJ53/AJ28)</x:f>
        <x:v>0.09734424458177315</x:v>
      </x:c>
      <x:c r="AK54" s="117" t="n">
        <x:f>IF(AK28=0,0,AK53/AK28)</x:f>
        <x:v>0.09849169014325754</x:v>
      </x:c>
      <x:c r="AL54" s="117" t="n">
        <x:f>IF(AL28=0,0,AL53/AL28)</x:f>
        <x:v>0.10175919492713371</x:v>
      </x:c>
    </x:row>
    <x:row r="55">
      <x:c r="A55" s="63" t="str">
        <x:v>OPERATING EXPENSE</x:v>
      </x:c>
      <x:c r="B55" s="63" t="str"/>
      <x:c r="C55" s="112"/>
      <x:c r="D55" s="112"/>
      <x:c r="E55" s="112"/>
      <x:c r="F55" s="112"/>
      <x:c r="G55" s="112"/>
      <x:c r="H55" s="112"/>
      <x:c r="I55" s="112"/>
      <x:c r="J55" s="112"/>
      <x:c r="K55" s="112"/>
      <x:c r="L55" s="112"/>
      <x:c r="M55" s="112"/>
      <x:c r="N55" s="112"/>
      <x:c r="O55" s="112"/>
      <x:c r="P55" s="112"/>
      <x:c r="Q55" s="112"/>
      <x:c r="R55" s="112"/>
      <x:c r="S55" s="112"/>
      <x:c r="T55" s="112"/>
      <x:c r="U55" s="112"/>
      <x:c r="V55" s="112"/>
      <x:c r="W55" s="112"/>
      <x:c r="X55" s="112"/>
      <x:c r="Y55" s="112"/>
      <x:c r="Z55" s="112"/>
      <x:c r="AA55" s="112"/>
      <x:c r="AB55" s="112"/>
      <x:c r="AC55" s="112"/>
      <x:c r="AD55" s="112"/>
      <x:c r="AE55" s="112"/>
      <x:c r="AF55" s="112"/>
      <x:c r="AG55" s="112"/>
      <x:c r="AH55" s="112"/>
      <x:c r="AI55" s="112"/>
      <x:c r="AJ55" s="112"/>
      <x:c r="AK55" s="112"/>
      <x:c r="AL55" s="112"/>
    </x:row>
    <x:row r="56">
      <x:c r="A56" s="84" t="str">
        <x:v>Founder cash compensation</x:v>
      </x:c>
      <x:c r="B56" s="84" t="str">
        <x:v>$</x:v>
      </x:c>
      <x:c r="C56" s="114" t="n">
        <x:f>IF(C6&gt;='Scenarios'!$C$35,'Scenarios'!$C$34,0)</x:f>
        <x:v>0</x:v>
      </x:c>
      <x:c r="D56" s="114" t="n">
        <x:f>IF(D6&gt;='Scenarios'!$C$35,'Scenarios'!$C$34,0)</x:f>
        <x:v>0</x:v>
      </x:c>
      <x:c r="E56" s="114" t="n">
        <x:f>IF(E6&gt;='Scenarios'!$C$35,'Scenarios'!$C$34,0)</x:f>
        <x:v>0</x:v>
      </x:c>
      <x:c r="F56" s="114" t="n">
        <x:f>IF(F6&gt;='Scenarios'!$C$35,'Scenarios'!$C$34,0)</x:f>
        <x:v>0</x:v>
      </x:c>
      <x:c r="G56" s="114" t="n">
        <x:f>IF(G6&gt;='Scenarios'!$C$35,'Scenarios'!$C$34,0)</x:f>
        <x:v>0</x:v>
      </x:c>
      <x:c r="H56" s="114" t="n">
        <x:f>IF(H6&gt;='Scenarios'!$C$35,'Scenarios'!$C$34,0)</x:f>
        <x:v>0</x:v>
      </x:c>
      <x:c r="I56" s="114" t="n">
        <x:f>IF(I6&gt;='Scenarios'!$C$35,'Scenarios'!$C$34,0)</x:f>
        <x:v>0</x:v>
      </x:c>
      <x:c r="J56" s="114" t="n">
        <x:f>IF(J6&gt;='Scenarios'!$C$35,'Scenarios'!$C$34,0)</x:f>
        <x:v>0</x:v>
      </x:c>
      <x:c r="K56" s="114" t="n">
        <x:f>IF(K6&gt;='Scenarios'!$C$35,'Scenarios'!$C$34,0)</x:f>
        <x:v>0</x:v>
      </x:c>
      <x:c r="L56" s="114" t="n">
        <x:f>IF(L6&gt;='Scenarios'!$C$35,'Scenarios'!$C$34,0)</x:f>
        <x:v>0</x:v>
      </x:c>
      <x:c r="M56" s="114" t="n">
        <x:f>IF(M6&gt;='Scenarios'!$C$35,'Scenarios'!$C$34,0)</x:f>
        <x:v>0</x:v>
      </x:c>
      <x:c r="N56" s="114" t="n">
        <x:f>IF(N6&gt;='Scenarios'!$C$35,'Scenarios'!$C$34,0)</x:f>
        <x:v>0</x:v>
      </x:c>
      <x:c r="O56" s="114" t="n">
        <x:f>IF(O6&gt;='Scenarios'!$C$35,'Scenarios'!$C$34,0)</x:f>
        <x:v>0</x:v>
      </x:c>
      <x:c r="P56" s="114" t="n">
        <x:f>IF(P6&gt;='Scenarios'!$C$35,'Scenarios'!$C$34,0)</x:f>
        <x:v>0</x:v>
      </x:c>
      <x:c r="Q56" s="114" t="n">
        <x:f>IF(Q6&gt;='Scenarios'!$C$35,'Scenarios'!$C$34,0)</x:f>
        <x:v>0</x:v>
      </x:c>
      <x:c r="R56" s="114" t="n">
        <x:f>IF(R6&gt;='Scenarios'!$C$35,'Scenarios'!$C$34,0)</x:f>
        <x:v>0</x:v>
      </x:c>
      <x:c r="S56" s="114" t="n">
        <x:f>IF(S6&gt;='Scenarios'!$C$35,'Scenarios'!$C$34,0)</x:f>
        <x:v>0</x:v>
      </x:c>
      <x:c r="T56" s="114" t="n">
        <x:f>IF(T6&gt;='Scenarios'!$C$35,'Scenarios'!$C$34,0)</x:f>
        <x:v>0</x:v>
      </x:c>
      <x:c r="U56" s="114" t="n">
        <x:f>IF(U6&gt;='Scenarios'!$C$35,'Scenarios'!$C$34,0)</x:f>
        <x:v>0</x:v>
      </x:c>
      <x:c r="V56" s="114" t="n">
        <x:f>IF(V6&gt;='Scenarios'!$C$35,'Scenarios'!$C$34,0)</x:f>
        <x:v>0</x:v>
      </x:c>
      <x:c r="W56" s="114" t="n">
        <x:f>IF(W6&gt;='Scenarios'!$C$35,'Scenarios'!$C$34,0)</x:f>
        <x:v>0</x:v>
      </x:c>
      <x:c r="X56" s="114" t="n">
        <x:f>IF(X6&gt;='Scenarios'!$C$35,'Scenarios'!$C$34,0)</x:f>
        <x:v>0</x:v>
      </x:c>
      <x:c r="Y56" s="114" t="n">
        <x:f>IF(Y6&gt;='Scenarios'!$C$35,'Scenarios'!$C$34,0)</x:f>
        <x:v>0</x:v>
      </x:c>
      <x:c r="Z56" s="114" t="n">
        <x:f>IF(Z6&gt;='Scenarios'!$C$35,'Scenarios'!$C$34,0)</x:f>
        <x:v>0</x:v>
      </x:c>
      <x:c r="AA56" s="114" t="n">
        <x:f>IF(AA6&gt;='Scenarios'!$C$35,'Scenarios'!$C$34,0)</x:f>
        <x:v>0</x:v>
      </x:c>
      <x:c r="AB56" s="114" t="n">
        <x:f>IF(AB6&gt;='Scenarios'!$C$35,'Scenarios'!$C$34,0)</x:f>
        <x:v>0</x:v>
      </x:c>
      <x:c r="AC56" s="114" t="n">
        <x:f>IF(AC6&gt;='Scenarios'!$C$35,'Scenarios'!$C$34,0)</x:f>
        <x:v>0</x:v>
      </x:c>
      <x:c r="AD56" s="114" t="n">
        <x:f>IF(AD6&gt;='Scenarios'!$C$35,'Scenarios'!$C$34,0)</x:f>
        <x:v>0</x:v>
      </x:c>
      <x:c r="AE56" s="114" t="n">
        <x:f>IF(AE6&gt;='Scenarios'!$C$35,'Scenarios'!$C$34,0)</x:f>
        <x:v>0</x:v>
      </x:c>
      <x:c r="AF56" s="114" t="n">
        <x:f>IF(AF6&gt;='Scenarios'!$C$35,'Scenarios'!$C$34,0)</x:f>
        <x:v>0</x:v>
      </x:c>
      <x:c r="AG56" s="114" t="n">
        <x:f>IF(AG6&gt;='Scenarios'!$C$35,'Scenarios'!$C$34,0)</x:f>
        <x:v>0</x:v>
      </x:c>
      <x:c r="AH56" s="114" t="n">
        <x:f>IF(AH6&gt;='Scenarios'!$C$35,'Scenarios'!$C$34,0)</x:f>
        <x:v>0</x:v>
      </x:c>
      <x:c r="AI56" s="114" t="n">
        <x:f>IF(AI6&gt;='Scenarios'!$C$35,'Scenarios'!$C$34,0)</x:f>
        <x:v>0</x:v>
      </x:c>
      <x:c r="AJ56" s="114" t="n">
        <x:f>IF(AJ6&gt;='Scenarios'!$C$35,'Scenarios'!$C$34,0)</x:f>
        <x:v>0</x:v>
      </x:c>
      <x:c r="AK56" s="114" t="n">
        <x:f>IF(AK6&gt;='Scenarios'!$C$35,'Scenarios'!$C$34,0)</x:f>
        <x:v>0</x:v>
      </x:c>
      <x:c r="AL56" s="114" t="n">
        <x:f>IF(AL6&gt;='Scenarios'!$C$35,'Scenarios'!$C$34,0)</x:f>
        <x:v>0</x:v>
      </x:c>
    </x:row>
    <x:row r="57">
      <x:c r="A57" s="84" t="str">
        <x:v>Founder non-delivery economic cost</x:v>
      </x:c>
      <x:c r="B57" s="84" t="str">
        <x:v>$</x:v>
      </x:c>
      <x:c r="C57" s="114" t="n">
        <x:f>MAX('Scenarios'!$C$31*52/12-C39,0)*'Scenarios'!$C$33</x:f>
        <x:v>10578.333333333334</x:v>
      </x:c>
      <x:c r="D57" s="114" t="n">
        <x:f>MAX('Scenarios'!$C$31*52/12-D39,0)*'Scenarios'!$C$33</x:f>
        <x:v>10132.083333333334</x:v>
      </x:c>
      <x:c r="E57" s="114" t="n">
        <x:f>MAX('Scenarios'!$C$31*52/12-E39,0)*'Scenarios'!$C$33</x:f>
        <x:v>10084.799427083335</x:v>
      </x:c>
      <x:c r="F57" s="114" t="n">
        <x:f>MAX('Scenarios'!$C$31*52/12-F39,0)*'Scenarios'!$C$33</x:f>
        <x:v>9798.934038020834</x:v>
      </x:c>
      <x:c r="G57" s="114" t="n">
        <x:f>MAX('Scenarios'!$C$31*52/12-G39,0)*'Scenarios'!$C$33</x:f>
        <x:v>9334.44461063021</x:v>
      </x:c>
      <x:c r="H57" s="114" t="n">
        <x:f>MAX('Scenarios'!$C$31*52/12-H39,0)*'Scenarios'!$C$33</x:f>
        <x:v>9246.787366061304</x:v>
      </x:c>
      <x:c r="I57" s="114" t="n">
        <x:f>MAX('Scenarios'!$C$31*52/12-I39,0)*'Scenarios'!$C$33</x:f>
        <x:v>9161.759838829465</x:v>
      </x:c>
      <x:c r="J57" s="114" t="n">
        <x:f>MAX('Scenarios'!$C$31*52/12-J39,0)*'Scenarios'!$C$33</x:f>
        <x:v>9079.283137414579</x:v>
      </x:c>
      <x:c r="K57" s="114" t="n">
        <x:f>MAX('Scenarios'!$C$31*52/12-K39,0)*'Scenarios'!$C$33</x:f>
        <x:v>8999.280737042143</x:v>
      </x:c>
      <x:c r="L57" s="114" t="n">
        <x:f>MAX('Scenarios'!$C$31*52/12-L39,0)*'Scenarios'!$C$33</x:f>
        <x:v>8921.678408680878</x:v>
      </x:c>
      <x:c r="M57" s="114" t="n">
        <x:f>MAX('Scenarios'!$C$31*52/12-M39,0)*'Scenarios'!$C$33</x:f>
        <x:v>8846.404150170452</x:v>
      </x:c>
      <x:c r="N57" s="114" t="n">
        <x:f>MAX('Scenarios'!$C$31*52/12-N39,0)*'Scenarios'!$C$33</x:f>
        <x:v>8773.388119415338</x:v>
      </x:c>
      <x:c r="O57" s="114" t="n">
        <x:f>MAX('Scenarios'!$C$31*52/12-O39,0)*'Scenarios'!$C$33</x:f>
        <x:v>8447.562569582878</x:v>
      </x:c>
      <x:c r="P57" s="114" t="n">
        <x:f>MAX('Scenarios'!$C$31*52/12-P39,0)*'Scenarios'!$C$33</x:f>
        <x:v>7932.611786245392</x:v>
      </x:c>
      <x:c r="Q57" s="114" t="n">
        <x:f>MAX('Scenarios'!$C$31*52/12-Q39,0)*'Scenarios'!$C$33</x:f>
        <x:v>7818.688120158031</x:v>
      </x:c>
      <x:c r="R57" s="114" t="n">
        <x:f>MAX('Scenarios'!$C$31*52/12-R39,0)*'Scenarios'!$C$33</x:f>
        <x:v>7708.182164053289</x:v>
      </x:c>
      <x:c r="S57" s="114" t="n">
        <x:f>MAX('Scenarios'!$C$31*52/12-S39,0)*'Scenarios'!$C$33</x:f>
        <x:v>7600.991386631691</x:v>
      </x:c>
      <x:c r="T57" s="114" t="n">
        <x:f>MAX('Scenarios'!$C$31*52/12-T39,0)*'Scenarios'!$C$33</x:f>
        <x:v>7497.016332532739</x:v>
      </x:c>
      <x:c r="U57" s="114" t="n">
        <x:f>MAX('Scenarios'!$C$31*52/12-U39,0)*'Scenarios'!$C$33</x:f>
        <x:v>7141.160530056758</x:v>
      </x:c>
      <x:c r="V57" s="114" t="n">
        <x:f>MAX('Scenarios'!$C$31*52/12-V39,0)*'Scenarios'!$C$33</x:f>
        <x:v>6597.080401655055</x:v>
      </x:c>
      <x:c r="W57" s="114" t="n">
        <x:f>MAX('Scenarios'!$C$31*52/12-W39,0)*'Scenarios'!$C$33</x:f>
        <x:v>6454.901270855404</x:v>
      </x:c>
      <x:c r="X57" s="114" t="n">
        <x:f>MAX('Scenarios'!$C$31*52/12-X39,0)*'Scenarios'!$C$33</x:f>
        <x:v>6316.987513979741</x:v>
      </x:c>
      <x:c r="Y57" s="114" t="n">
        <x:f>MAX('Scenarios'!$C$31*52/12-Y39,0)*'Scenarios'!$C$33</x:f>
        <x:v>6183.211169810348</x:v>
      </x:c>
      <x:c r="Z57" s="114" t="n">
        <x:f>MAX('Scenarios'!$C$31*52/12-Z39,0)*'Scenarios'!$C$33</x:f>
        <x:v>6053.448115966038</x:v>
      </x:c>
      <x:c r="AA57" s="114" t="n">
        <x:f>MAX('Scenarios'!$C$31*52/12-AA39,0)*'Scenarios'!$C$33</x:f>
        <x:v>5807.577953737057</x:v>
      </x:c>
      <x:c r="AB57" s="114" t="n">
        <x:f>MAX('Scenarios'!$C$31*52/12-AB39,0)*'Scenarios'!$C$33</x:f>
        <x:v>5475.483896374945</x:v>
      </x:c>
      <x:c r="AC57" s="114" t="n">
        <x:f>MAX('Scenarios'!$C$31*52/12-AC39,0)*'Scenarios'!$C$33</x:f>
        <x:v>5334.8014107336985</x:v>
      </x:c>
      <x:c r="AD57" s="114" t="n">
        <x:f>MAX('Scenarios'!$C$31*52/12-AD39,0)*'Scenarios'!$C$33</x:f>
        <x:v>5198.339399661687</x:v>
      </x:c>
      <x:c r="AE57" s="114" t="n">
        <x:f>MAX('Scenarios'!$C$31*52/12-AE39,0)*'Scenarios'!$C$33</x:f>
        <x:v>5065.971248921836</x:v>
      </x:c>
      <x:c r="AF57" s="114" t="n">
        <x:f>MAX('Scenarios'!$C$31*52/12-AF39,0)*'Scenarios'!$C$33</x:f>
        <x:v>4937.574142704182</x:v>
      </x:c>
      <x:c r="AG57" s="114" t="n">
        <x:f>MAX('Scenarios'!$C$31*52/12-AG39,0)*'Scenarios'!$C$33</x:f>
        <x:v>4813.028949673056</x:v>
      </x:c>
      <x:c r="AH57" s="114" t="n">
        <x:f>MAX('Scenarios'!$C$31*52/12-AH39,0)*'Scenarios'!$C$33</x:f>
        <x:v>4692.220112432865</x:v>
      </x:c>
      <x:c r="AI57" s="114" t="n">
        <x:f>MAX('Scenarios'!$C$31*52/12-AI39,0)*'Scenarios'!$C$33</x:f>
        <x:v>4575.035540309878</x:v>
      </x:c>
      <x:c r="AJ57" s="114" t="n">
        <x:f>MAX('Scenarios'!$C$31*52/12-AJ39,0)*'Scenarios'!$C$33</x:f>
        <x:v>4461.366505350583</x:v>
      </x:c>
      <x:c r="AK57" s="114" t="n">
        <x:f>MAX('Scenarios'!$C$31*52/12-AK39,0)*'Scenarios'!$C$33</x:f>
        <x:v>4351.107541440064</x:v>
      </x:c>
      <x:c r="AL57" s="114" t="n">
        <x:f>MAX('Scenarios'!$C$31*52/12-AL39,0)*'Scenarios'!$C$33</x:f>
        <x:v>4333.333333333334</x:v>
      </x:c>
    </x:row>
    <x:row r="58">
      <x:c r="A58" s="84" t="str">
        <x:v>Software and administration</x:v>
      </x:c>
      <x:c r="B58" s="84" t="str">
        <x:v>$</x:v>
      </x:c>
      <x:c r="C58" s="114" t="n">
        <x:f>'Scenarios'!$C$50</x:f>
        <x:v>750</x:v>
      </x:c>
      <x:c r="D58" s="114" t="n">
        <x:f>'Scenarios'!$C$50</x:f>
        <x:v>750</x:v>
      </x:c>
      <x:c r="E58" s="114" t="n">
        <x:f>'Scenarios'!$C$50</x:f>
        <x:v>750</x:v>
      </x:c>
      <x:c r="F58" s="114" t="n">
        <x:f>'Scenarios'!$C$50</x:f>
        <x:v>750</x:v>
      </x:c>
      <x:c r="G58" s="114" t="n">
        <x:f>'Scenarios'!$C$50</x:f>
        <x:v>750</x:v>
      </x:c>
      <x:c r="H58" s="114" t="n">
        <x:f>'Scenarios'!$C$50</x:f>
        <x:v>750</x:v>
      </x:c>
      <x:c r="I58" s="114" t="n">
        <x:f>'Scenarios'!$C$50</x:f>
        <x:v>750</x:v>
      </x:c>
      <x:c r="J58" s="114" t="n">
        <x:f>'Scenarios'!$C$50</x:f>
        <x:v>750</x:v>
      </x:c>
      <x:c r="K58" s="114" t="n">
        <x:f>'Scenarios'!$C$50</x:f>
        <x:v>750</x:v>
      </x:c>
      <x:c r="L58" s="114" t="n">
        <x:f>'Scenarios'!$C$50</x:f>
        <x:v>750</x:v>
      </x:c>
      <x:c r="M58" s="114" t="n">
        <x:f>'Scenarios'!$C$50</x:f>
        <x:v>750</x:v>
      </x:c>
      <x:c r="N58" s="114" t="n">
        <x:f>'Scenarios'!$C$50</x:f>
        <x:v>750</x:v>
      </x:c>
      <x:c r="O58" s="114" t="n">
        <x:f>'Scenarios'!$C$50</x:f>
        <x:v>750</x:v>
      </x:c>
      <x:c r="P58" s="114" t="n">
        <x:f>'Scenarios'!$C$50</x:f>
        <x:v>750</x:v>
      </x:c>
      <x:c r="Q58" s="114" t="n">
        <x:f>'Scenarios'!$C$50</x:f>
        <x:v>750</x:v>
      </x:c>
      <x:c r="R58" s="114" t="n">
        <x:f>'Scenarios'!$C$50</x:f>
        <x:v>750</x:v>
      </x:c>
      <x:c r="S58" s="114" t="n">
        <x:f>'Scenarios'!$C$50</x:f>
        <x:v>750</x:v>
      </x:c>
      <x:c r="T58" s="114" t="n">
        <x:f>'Scenarios'!$C$50</x:f>
        <x:v>750</x:v>
      </x:c>
      <x:c r="U58" s="114" t="n">
        <x:f>'Scenarios'!$C$50</x:f>
        <x:v>750</x:v>
      </x:c>
      <x:c r="V58" s="114" t="n">
        <x:f>'Scenarios'!$C$50</x:f>
        <x:v>750</x:v>
      </x:c>
      <x:c r="W58" s="114" t="n">
        <x:f>'Scenarios'!$C$50</x:f>
        <x:v>750</x:v>
      </x:c>
      <x:c r="X58" s="114" t="n">
        <x:f>'Scenarios'!$C$50</x:f>
        <x:v>750</x:v>
      </x:c>
      <x:c r="Y58" s="114" t="n">
        <x:f>'Scenarios'!$C$50</x:f>
        <x:v>750</x:v>
      </x:c>
      <x:c r="Z58" s="114" t="n">
        <x:f>'Scenarios'!$C$50</x:f>
        <x:v>750</x:v>
      </x:c>
      <x:c r="AA58" s="114" t="n">
        <x:f>'Scenarios'!$C$50</x:f>
        <x:v>750</x:v>
      </x:c>
      <x:c r="AB58" s="114" t="n">
        <x:f>'Scenarios'!$C$50</x:f>
        <x:v>750</x:v>
      </x:c>
      <x:c r="AC58" s="114" t="n">
        <x:f>'Scenarios'!$C$50</x:f>
        <x:v>750</x:v>
      </x:c>
      <x:c r="AD58" s="114" t="n">
        <x:f>'Scenarios'!$C$50</x:f>
        <x:v>750</x:v>
      </x:c>
      <x:c r="AE58" s="114" t="n">
        <x:f>'Scenarios'!$C$50</x:f>
        <x:v>750</x:v>
      </x:c>
      <x:c r="AF58" s="114" t="n">
        <x:f>'Scenarios'!$C$50</x:f>
        <x:v>750</x:v>
      </x:c>
      <x:c r="AG58" s="114" t="n">
        <x:f>'Scenarios'!$C$50</x:f>
        <x:v>750</x:v>
      </x:c>
      <x:c r="AH58" s="114" t="n">
        <x:f>'Scenarios'!$C$50</x:f>
        <x:v>750</x:v>
      </x:c>
      <x:c r="AI58" s="114" t="n">
        <x:f>'Scenarios'!$C$50</x:f>
        <x:v>750</x:v>
      </x:c>
      <x:c r="AJ58" s="114" t="n">
        <x:f>'Scenarios'!$C$50</x:f>
        <x:v>750</x:v>
      </x:c>
      <x:c r="AK58" s="114" t="n">
        <x:f>'Scenarios'!$C$50</x:f>
        <x:v>750</x:v>
      </x:c>
      <x:c r="AL58" s="114" t="n">
        <x:f>'Scenarios'!$C$50</x:f>
        <x:v>750</x:v>
      </x:c>
    </x:row>
    <x:row r="59">
      <x:c r="A59" s="84" t="str">
        <x:v>Sales and marketing</x:v>
      </x:c>
      <x:c r="B59" s="84" t="str">
        <x:v>$</x:v>
      </x:c>
      <x:c r="C59" s="114" t="n">
        <x:f>'Scenarios'!$C$51</x:f>
        <x:v>500</x:v>
      </x:c>
      <x:c r="D59" s="114" t="n">
        <x:f>'Scenarios'!$C$51</x:f>
        <x:v>500</x:v>
      </x:c>
      <x:c r="E59" s="114" t="n">
        <x:f>'Scenarios'!$C$51</x:f>
        <x:v>500</x:v>
      </x:c>
      <x:c r="F59" s="114" t="n">
        <x:f>'Scenarios'!$C$51</x:f>
        <x:v>500</x:v>
      </x:c>
      <x:c r="G59" s="114" t="n">
        <x:f>'Scenarios'!$C$51</x:f>
        <x:v>500</x:v>
      </x:c>
      <x:c r="H59" s="114" t="n">
        <x:f>'Scenarios'!$C$51</x:f>
        <x:v>500</x:v>
      </x:c>
      <x:c r="I59" s="114" t="n">
        <x:f>'Scenarios'!$C$51</x:f>
        <x:v>500</x:v>
      </x:c>
      <x:c r="J59" s="114" t="n">
        <x:f>'Scenarios'!$C$51</x:f>
        <x:v>500</x:v>
      </x:c>
      <x:c r="K59" s="114" t="n">
        <x:f>'Scenarios'!$C$51</x:f>
        <x:v>500</x:v>
      </x:c>
      <x:c r="L59" s="114" t="n">
        <x:f>'Scenarios'!$C$51</x:f>
        <x:v>500</x:v>
      </x:c>
      <x:c r="M59" s="114" t="n">
        <x:f>'Scenarios'!$C$51</x:f>
        <x:v>500</x:v>
      </x:c>
      <x:c r="N59" s="114" t="n">
        <x:f>'Scenarios'!$C$51</x:f>
        <x:v>500</x:v>
      </x:c>
      <x:c r="O59" s="114" t="n">
        <x:f>'Scenarios'!$C$51</x:f>
        <x:v>500</x:v>
      </x:c>
      <x:c r="P59" s="114" t="n">
        <x:f>'Scenarios'!$C$51</x:f>
        <x:v>500</x:v>
      </x:c>
      <x:c r="Q59" s="114" t="n">
        <x:f>'Scenarios'!$C$51</x:f>
        <x:v>500</x:v>
      </x:c>
      <x:c r="R59" s="114" t="n">
        <x:f>'Scenarios'!$C$51</x:f>
        <x:v>500</x:v>
      </x:c>
      <x:c r="S59" s="114" t="n">
        <x:f>'Scenarios'!$C$51</x:f>
        <x:v>500</x:v>
      </x:c>
      <x:c r="T59" s="114" t="n">
        <x:f>'Scenarios'!$C$51</x:f>
        <x:v>500</x:v>
      </x:c>
      <x:c r="U59" s="114" t="n">
        <x:f>'Scenarios'!$C$51</x:f>
        <x:v>500</x:v>
      </x:c>
      <x:c r="V59" s="114" t="n">
        <x:f>'Scenarios'!$C$51</x:f>
        <x:v>500</x:v>
      </x:c>
      <x:c r="W59" s="114" t="n">
        <x:f>'Scenarios'!$C$51</x:f>
        <x:v>500</x:v>
      </x:c>
      <x:c r="X59" s="114" t="n">
        <x:f>'Scenarios'!$C$51</x:f>
        <x:v>500</x:v>
      </x:c>
      <x:c r="Y59" s="114" t="n">
        <x:f>'Scenarios'!$C$51</x:f>
        <x:v>500</x:v>
      </x:c>
      <x:c r="Z59" s="114" t="n">
        <x:f>'Scenarios'!$C$51</x:f>
        <x:v>500</x:v>
      </x:c>
      <x:c r="AA59" s="114" t="n">
        <x:f>'Scenarios'!$C$51</x:f>
        <x:v>500</x:v>
      </x:c>
      <x:c r="AB59" s="114" t="n">
        <x:f>'Scenarios'!$C$51</x:f>
        <x:v>500</x:v>
      </x:c>
      <x:c r="AC59" s="114" t="n">
        <x:f>'Scenarios'!$C$51</x:f>
        <x:v>500</x:v>
      </x:c>
      <x:c r="AD59" s="114" t="n">
        <x:f>'Scenarios'!$C$51</x:f>
        <x:v>500</x:v>
      </x:c>
      <x:c r="AE59" s="114" t="n">
        <x:f>'Scenarios'!$C$51</x:f>
        <x:v>500</x:v>
      </x:c>
      <x:c r="AF59" s="114" t="n">
        <x:f>'Scenarios'!$C$51</x:f>
        <x:v>500</x:v>
      </x:c>
      <x:c r="AG59" s="114" t="n">
        <x:f>'Scenarios'!$C$51</x:f>
        <x:v>500</x:v>
      </x:c>
      <x:c r="AH59" s="114" t="n">
        <x:f>'Scenarios'!$C$51</x:f>
        <x:v>500</x:v>
      </x:c>
      <x:c r="AI59" s="114" t="n">
        <x:f>'Scenarios'!$C$51</x:f>
        <x:v>500</x:v>
      </x:c>
      <x:c r="AJ59" s="114" t="n">
        <x:f>'Scenarios'!$C$51</x:f>
        <x:v>500</x:v>
      </x:c>
      <x:c r="AK59" s="114" t="n">
        <x:f>'Scenarios'!$C$51</x:f>
        <x:v>500</x:v>
      </x:c>
      <x:c r="AL59" s="114" t="n">
        <x:f>'Scenarios'!$C$51</x:f>
        <x:v>500</x:v>
      </x:c>
    </x:row>
    <x:row r="60">
      <x:c r="A60" s="84" t="str">
        <x:v>Legal and insurance</x:v>
      </x:c>
      <x:c r="B60" s="84" t="str">
        <x:v>$</x:v>
      </x:c>
      <x:c r="C60" s="114" t="n">
        <x:f>'Scenarios'!$C$52</x:f>
        <x:v>500</x:v>
      </x:c>
      <x:c r="D60" s="114" t="n">
        <x:f>'Scenarios'!$C$52</x:f>
        <x:v>500</x:v>
      </x:c>
      <x:c r="E60" s="114" t="n">
        <x:f>'Scenarios'!$C$52</x:f>
        <x:v>500</x:v>
      </x:c>
      <x:c r="F60" s="114" t="n">
        <x:f>'Scenarios'!$C$52</x:f>
        <x:v>500</x:v>
      </x:c>
      <x:c r="G60" s="114" t="n">
        <x:f>'Scenarios'!$C$52</x:f>
        <x:v>500</x:v>
      </x:c>
      <x:c r="H60" s="114" t="n">
        <x:f>'Scenarios'!$C$52</x:f>
        <x:v>500</x:v>
      </x:c>
      <x:c r="I60" s="114" t="n">
        <x:f>'Scenarios'!$C$52</x:f>
        <x:v>500</x:v>
      </x:c>
      <x:c r="J60" s="114" t="n">
        <x:f>'Scenarios'!$C$52</x:f>
        <x:v>500</x:v>
      </x:c>
      <x:c r="K60" s="114" t="n">
        <x:f>'Scenarios'!$C$52</x:f>
        <x:v>500</x:v>
      </x:c>
      <x:c r="L60" s="114" t="n">
        <x:f>'Scenarios'!$C$52</x:f>
        <x:v>500</x:v>
      </x:c>
      <x:c r="M60" s="114" t="n">
        <x:f>'Scenarios'!$C$52</x:f>
        <x:v>500</x:v>
      </x:c>
      <x:c r="N60" s="114" t="n">
        <x:f>'Scenarios'!$C$52</x:f>
        <x:v>500</x:v>
      </x:c>
      <x:c r="O60" s="114" t="n">
        <x:f>'Scenarios'!$C$52</x:f>
        <x:v>500</x:v>
      </x:c>
      <x:c r="P60" s="114" t="n">
        <x:f>'Scenarios'!$C$52</x:f>
        <x:v>500</x:v>
      </x:c>
      <x:c r="Q60" s="114" t="n">
        <x:f>'Scenarios'!$C$52</x:f>
        <x:v>500</x:v>
      </x:c>
      <x:c r="R60" s="114" t="n">
        <x:f>'Scenarios'!$C$52</x:f>
        <x:v>500</x:v>
      </x:c>
      <x:c r="S60" s="114" t="n">
        <x:f>'Scenarios'!$C$52</x:f>
        <x:v>500</x:v>
      </x:c>
      <x:c r="T60" s="114" t="n">
        <x:f>'Scenarios'!$C$52</x:f>
        <x:v>500</x:v>
      </x:c>
      <x:c r="U60" s="114" t="n">
        <x:f>'Scenarios'!$C$52</x:f>
        <x:v>500</x:v>
      </x:c>
      <x:c r="V60" s="114" t="n">
        <x:f>'Scenarios'!$C$52</x:f>
        <x:v>500</x:v>
      </x:c>
      <x:c r="W60" s="114" t="n">
        <x:f>'Scenarios'!$C$52</x:f>
        <x:v>500</x:v>
      </x:c>
      <x:c r="X60" s="114" t="n">
        <x:f>'Scenarios'!$C$52</x:f>
        <x:v>500</x:v>
      </x:c>
      <x:c r="Y60" s="114" t="n">
        <x:f>'Scenarios'!$C$52</x:f>
        <x:v>500</x:v>
      </x:c>
      <x:c r="Z60" s="114" t="n">
        <x:f>'Scenarios'!$C$52</x:f>
        <x:v>500</x:v>
      </x:c>
      <x:c r="AA60" s="114" t="n">
        <x:f>'Scenarios'!$C$52</x:f>
        <x:v>500</x:v>
      </x:c>
      <x:c r="AB60" s="114" t="n">
        <x:f>'Scenarios'!$C$52</x:f>
        <x:v>500</x:v>
      </x:c>
      <x:c r="AC60" s="114" t="n">
        <x:f>'Scenarios'!$C$52</x:f>
        <x:v>500</x:v>
      </x:c>
      <x:c r="AD60" s="114" t="n">
        <x:f>'Scenarios'!$C$52</x:f>
        <x:v>500</x:v>
      </x:c>
      <x:c r="AE60" s="114" t="n">
        <x:f>'Scenarios'!$C$52</x:f>
        <x:v>500</x:v>
      </x:c>
      <x:c r="AF60" s="114" t="n">
        <x:f>'Scenarios'!$C$52</x:f>
        <x:v>500</x:v>
      </x:c>
      <x:c r="AG60" s="114" t="n">
        <x:f>'Scenarios'!$C$52</x:f>
        <x:v>500</x:v>
      </x:c>
      <x:c r="AH60" s="114" t="n">
        <x:f>'Scenarios'!$C$52</x:f>
        <x:v>500</x:v>
      </x:c>
      <x:c r="AI60" s="114" t="n">
        <x:f>'Scenarios'!$C$52</x:f>
        <x:v>500</x:v>
      </x:c>
      <x:c r="AJ60" s="114" t="n">
        <x:f>'Scenarios'!$C$52</x:f>
        <x:v>500</x:v>
      </x:c>
      <x:c r="AK60" s="114" t="n">
        <x:f>'Scenarios'!$C$52</x:f>
        <x:v>500</x:v>
      </x:c>
      <x:c r="AL60" s="114" t="n">
        <x:f>'Scenarios'!$C$52</x:f>
        <x:v>500</x:v>
      </x:c>
    </x:row>
    <x:row r="61">
      <x:c r="A61" s="84" t="str">
        <x:v>Other operating expense</x:v>
      </x:c>
      <x:c r="B61" s="84" t="str">
        <x:v>$</x:v>
      </x:c>
      <x:c r="C61" s="114" t="n">
        <x:f>'Scenarios'!$C$53</x:f>
        <x:v>250</x:v>
      </x:c>
      <x:c r="D61" s="114" t="n">
        <x:f>'Scenarios'!$C$53</x:f>
        <x:v>250</x:v>
      </x:c>
      <x:c r="E61" s="114" t="n">
        <x:f>'Scenarios'!$C$53</x:f>
        <x:v>250</x:v>
      </x:c>
      <x:c r="F61" s="114" t="n">
        <x:f>'Scenarios'!$C$53</x:f>
        <x:v>250</x:v>
      </x:c>
      <x:c r="G61" s="114" t="n">
        <x:f>'Scenarios'!$C$53</x:f>
        <x:v>250</x:v>
      </x:c>
      <x:c r="H61" s="114" t="n">
        <x:f>'Scenarios'!$C$53</x:f>
        <x:v>250</x:v>
      </x:c>
      <x:c r="I61" s="114" t="n">
        <x:f>'Scenarios'!$C$53</x:f>
        <x:v>250</x:v>
      </x:c>
      <x:c r="J61" s="114" t="n">
        <x:f>'Scenarios'!$C$53</x:f>
        <x:v>250</x:v>
      </x:c>
      <x:c r="K61" s="114" t="n">
        <x:f>'Scenarios'!$C$53</x:f>
        <x:v>250</x:v>
      </x:c>
      <x:c r="L61" s="114" t="n">
        <x:f>'Scenarios'!$C$53</x:f>
        <x:v>250</x:v>
      </x:c>
      <x:c r="M61" s="114" t="n">
        <x:f>'Scenarios'!$C$53</x:f>
        <x:v>250</x:v>
      </x:c>
      <x:c r="N61" s="114" t="n">
        <x:f>'Scenarios'!$C$53</x:f>
        <x:v>250</x:v>
      </x:c>
      <x:c r="O61" s="114" t="n">
        <x:f>'Scenarios'!$C$53</x:f>
        <x:v>250</x:v>
      </x:c>
      <x:c r="P61" s="114" t="n">
        <x:f>'Scenarios'!$C$53</x:f>
        <x:v>250</x:v>
      </x:c>
      <x:c r="Q61" s="114" t="n">
        <x:f>'Scenarios'!$C$53</x:f>
        <x:v>250</x:v>
      </x:c>
      <x:c r="R61" s="114" t="n">
        <x:f>'Scenarios'!$C$53</x:f>
        <x:v>250</x:v>
      </x:c>
      <x:c r="S61" s="114" t="n">
        <x:f>'Scenarios'!$C$53</x:f>
        <x:v>250</x:v>
      </x:c>
      <x:c r="T61" s="114" t="n">
        <x:f>'Scenarios'!$C$53</x:f>
        <x:v>250</x:v>
      </x:c>
      <x:c r="U61" s="114" t="n">
        <x:f>'Scenarios'!$C$53</x:f>
        <x:v>250</x:v>
      </x:c>
      <x:c r="V61" s="114" t="n">
        <x:f>'Scenarios'!$C$53</x:f>
        <x:v>250</x:v>
      </x:c>
      <x:c r="W61" s="114" t="n">
        <x:f>'Scenarios'!$C$53</x:f>
        <x:v>250</x:v>
      </x:c>
      <x:c r="X61" s="114" t="n">
        <x:f>'Scenarios'!$C$53</x:f>
        <x:v>250</x:v>
      </x:c>
      <x:c r="Y61" s="114" t="n">
        <x:f>'Scenarios'!$C$53</x:f>
        <x:v>250</x:v>
      </x:c>
      <x:c r="Z61" s="114" t="n">
        <x:f>'Scenarios'!$C$53</x:f>
        <x:v>250</x:v>
      </x:c>
      <x:c r="AA61" s="114" t="n">
        <x:f>'Scenarios'!$C$53</x:f>
        <x:v>250</x:v>
      </x:c>
      <x:c r="AB61" s="114" t="n">
        <x:f>'Scenarios'!$C$53</x:f>
        <x:v>250</x:v>
      </x:c>
      <x:c r="AC61" s="114" t="n">
        <x:f>'Scenarios'!$C$53</x:f>
        <x:v>250</x:v>
      </x:c>
      <x:c r="AD61" s="114" t="n">
        <x:f>'Scenarios'!$C$53</x:f>
        <x:v>250</x:v>
      </x:c>
      <x:c r="AE61" s="114" t="n">
        <x:f>'Scenarios'!$C$53</x:f>
        <x:v>250</x:v>
      </x:c>
      <x:c r="AF61" s="114" t="n">
        <x:f>'Scenarios'!$C$53</x:f>
        <x:v>250</x:v>
      </x:c>
      <x:c r="AG61" s="114" t="n">
        <x:f>'Scenarios'!$C$53</x:f>
        <x:v>250</x:v>
      </x:c>
      <x:c r="AH61" s="114" t="n">
        <x:f>'Scenarios'!$C$53</x:f>
        <x:v>250</x:v>
      </x:c>
      <x:c r="AI61" s="114" t="n">
        <x:f>'Scenarios'!$C$53</x:f>
        <x:v>250</x:v>
      </x:c>
      <x:c r="AJ61" s="114" t="n">
        <x:f>'Scenarios'!$C$53</x:f>
        <x:v>250</x:v>
      </x:c>
      <x:c r="AK61" s="114" t="n">
        <x:f>'Scenarios'!$C$53</x:f>
        <x:v>250</x:v>
      </x:c>
      <x:c r="AL61" s="114" t="n">
        <x:f>'Scenarios'!$C$53</x:f>
        <x:v>250</x:v>
      </x:c>
    </x:row>
    <x:row r="62">
      <x:c r="A62" s="84" t="str">
        <x:v>Initial setup spend</x:v>
      </x:c>
      <x:c r="B62" s="84" t="str">
        <x:v>$</x:v>
      </x:c>
      <x:c r="C62" s="114" t="n">
        <x:f>IF(C6=1,'Scenarios'!$C$54,0)</x:f>
        <x:v>4000</x:v>
      </x:c>
      <x:c r="D62" s="114" t="n">
        <x:f>IF(D6=1,'Scenarios'!$C$54,0)</x:f>
        <x:v>0</x:v>
      </x:c>
      <x:c r="E62" s="114" t="n">
        <x:f>IF(E6=1,'Scenarios'!$C$54,0)</x:f>
        <x:v>0</x:v>
      </x:c>
      <x:c r="F62" s="114" t="n">
        <x:f>IF(F6=1,'Scenarios'!$C$54,0)</x:f>
        <x:v>0</x:v>
      </x:c>
      <x:c r="G62" s="114" t="n">
        <x:f>IF(G6=1,'Scenarios'!$C$54,0)</x:f>
        <x:v>0</x:v>
      </x:c>
      <x:c r="H62" s="114" t="n">
        <x:f>IF(H6=1,'Scenarios'!$C$54,0)</x:f>
        <x:v>0</x:v>
      </x:c>
      <x:c r="I62" s="114" t="n">
        <x:f>IF(I6=1,'Scenarios'!$C$54,0)</x:f>
        <x:v>0</x:v>
      </x:c>
      <x:c r="J62" s="114" t="n">
        <x:f>IF(J6=1,'Scenarios'!$C$54,0)</x:f>
        <x:v>0</x:v>
      </x:c>
      <x:c r="K62" s="114" t="n">
        <x:f>IF(K6=1,'Scenarios'!$C$54,0)</x:f>
        <x:v>0</x:v>
      </x:c>
      <x:c r="L62" s="114" t="n">
        <x:f>IF(L6=1,'Scenarios'!$C$54,0)</x:f>
        <x:v>0</x:v>
      </x:c>
      <x:c r="M62" s="114" t="n">
        <x:f>IF(M6=1,'Scenarios'!$C$54,0)</x:f>
        <x:v>0</x:v>
      </x:c>
      <x:c r="N62" s="114" t="n">
        <x:f>IF(N6=1,'Scenarios'!$C$54,0)</x:f>
        <x:v>0</x:v>
      </x:c>
      <x:c r="O62" s="114" t="n">
        <x:f>IF(O6=1,'Scenarios'!$C$54,0)</x:f>
        <x:v>0</x:v>
      </x:c>
      <x:c r="P62" s="114" t="n">
        <x:f>IF(P6=1,'Scenarios'!$C$54,0)</x:f>
        <x:v>0</x:v>
      </x:c>
      <x:c r="Q62" s="114" t="n">
        <x:f>IF(Q6=1,'Scenarios'!$C$54,0)</x:f>
        <x:v>0</x:v>
      </x:c>
      <x:c r="R62" s="114" t="n">
        <x:f>IF(R6=1,'Scenarios'!$C$54,0)</x:f>
        <x:v>0</x:v>
      </x:c>
      <x:c r="S62" s="114" t="n">
        <x:f>IF(S6=1,'Scenarios'!$C$54,0)</x:f>
        <x:v>0</x:v>
      </x:c>
      <x:c r="T62" s="114" t="n">
        <x:f>IF(T6=1,'Scenarios'!$C$54,0)</x:f>
        <x:v>0</x:v>
      </x:c>
      <x:c r="U62" s="114" t="n">
        <x:f>IF(U6=1,'Scenarios'!$C$54,0)</x:f>
        <x:v>0</x:v>
      </x:c>
      <x:c r="V62" s="114" t="n">
        <x:f>IF(V6=1,'Scenarios'!$C$54,0)</x:f>
        <x:v>0</x:v>
      </x:c>
      <x:c r="W62" s="114" t="n">
        <x:f>IF(W6=1,'Scenarios'!$C$54,0)</x:f>
        <x:v>0</x:v>
      </x:c>
      <x:c r="X62" s="114" t="n">
        <x:f>IF(X6=1,'Scenarios'!$C$54,0)</x:f>
        <x:v>0</x:v>
      </x:c>
      <x:c r="Y62" s="114" t="n">
        <x:f>IF(Y6=1,'Scenarios'!$C$54,0)</x:f>
        <x:v>0</x:v>
      </x:c>
      <x:c r="Z62" s="114" t="n">
        <x:f>IF(Z6=1,'Scenarios'!$C$54,0)</x:f>
        <x:v>0</x:v>
      </x:c>
      <x:c r="AA62" s="114" t="n">
        <x:f>IF(AA6=1,'Scenarios'!$C$54,0)</x:f>
        <x:v>0</x:v>
      </x:c>
      <x:c r="AB62" s="114" t="n">
        <x:f>IF(AB6=1,'Scenarios'!$C$54,0)</x:f>
        <x:v>0</x:v>
      </x:c>
      <x:c r="AC62" s="114" t="n">
        <x:f>IF(AC6=1,'Scenarios'!$C$54,0)</x:f>
        <x:v>0</x:v>
      </x:c>
      <x:c r="AD62" s="114" t="n">
        <x:f>IF(AD6=1,'Scenarios'!$C$54,0)</x:f>
        <x:v>0</x:v>
      </x:c>
      <x:c r="AE62" s="114" t="n">
        <x:f>IF(AE6=1,'Scenarios'!$C$54,0)</x:f>
        <x:v>0</x:v>
      </x:c>
      <x:c r="AF62" s="114" t="n">
        <x:f>IF(AF6=1,'Scenarios'!$C$54,0)</x:f>
        <x:v>0</x:v>
      </x:c>
      <x:c r="AG62" s="114" t="n">
        <x:f>IF(AG6=1,'Scenarios'!$C$54,0)</x:f>
        <x:v>0</x:v>
      </x:c>
      <x:c r="AH62" s="114" t="n">
        <x:f>IF(AH6=1,'Scenarios'!$C$54,0)</x:f>
        <x:v>0</x:v>
      </x:c>
      <x:c r="AI62" s="114" t="n">
        <x:f>IF(AI6=1,'Scenarios'!$C$54,0)</x:f>
        <x:v>0</x:v>
      </x:c>
      <x:c r="AJ62" s="114" t="n">
        <x:f>IF(AJ6=1,'Scenarios'!$C$54,0)</x:f>
        <x:v>0</x:v>
      </x:c>
      <x:c r="AK62" s="114" t="n">
        <x:f>IF(AK6=1,'Scenarios'!$C$54,0)</x:f>
        <x:v>0</x:v>
      </x:c>
      <x:c r="AL62" s="114" t="n">
        <x:f>IF(AL6=1,'Scenarios'!$C$54,0)</x:f>
        <x:v>0</x:v>
      </x:c>
    </x:row>
    <x:row r="63">
      <x:c r="A63" s="84" t="str">
        <x:v>Production-readiness spend</x:v>
      </x:c>
      <x:c r="B63" s="84" t="str">
        <x:v>$</x:v>
      </x:c>
      <x:c r="C63" s="114" t="n">
        <x:f>IF(C6='Scenarios'!$C$56,'Scenarios'!$C$55,0)</x:f>
        <x:v>0</x:v>
      </x:c>
      <x:c r="D63" s="114" t="n">
        <x:f>IF(D6='Scenarios'!$C$56,'Scenarios'!$C$55,0)</x:f>
        <x:v>0</x:v>
      </x:c>
      <x:c r="E63" s="114" t="n">
        <x:f>IF(E6='Scenarios'!$C$56,'Scenarios'!$C$55,0)</x:f>
        <x:v>0</x:v>
      </x:c>
      <x:c r="F63" s="114" t="n">
        <x:f>IF(F6='Scenarios'!$C$56,'Scenarios'!$C$55,0)</x:f>
        <x:v>0</x:v>
      </x:c>
      <x:c r="G63" s="114" t="n">
        <x:f>IF(G6='Scenarios'!$C$56,'Scenarios'!$C$55,0)</x:f>
        <x:v>0</x:v>
      </x:c>
      <x:c r="H63" s="114" t="n">
        <x:f>IF(H6='Scenarios'!$C$56,'Scenarios'!$C$55,0)</x:f>
        <x:v>0</x:v>
      </x:c>
      <x:c r="I63" s="114" t="n">
        <x:f>IF(I6='Scenarios'!$C$56,'Scenarios'!$C$55,0)</x:f>
        <x:v>0</x:v>
      </x:c>
      <x:c r="J63" s="114" t="n">
        <x:f>IF(J6='Scenarios'!$C$56,'Scenarios'!$C$55,0)</x:f>
        <x:v>0</x:v>
      </x:c>
      <x:c r="K63" s="114" t="n">
        <x:f>IF(K6='Scenarios'!$C$56,'Scenarios'!$C$55,0)</x:f>
        <x:v>0</x:v>
      </x:c>
      <x:c r="L63" s="114" t="n">
        <x:f>IF(L6='Scenarios'!$C$56,'Scenarios'!$C$55,0)</x:f>
        <x:v>0</x:v>
      </x:c>
      <x:c r="M63" s="114" t="n">
        <x:f>IF(M6='Scenarios'!$C$56,'Scenarios'!$C$55,0)</x:f>
        <x:v>0</x:v>
      </x:c>
      <x:c r="N63" s="114" t="n">
        <x:f>IF(N6='Scenarios'!$C$56,'Scenarios'!$C$55,0)</x:f>
        <x:v>0</x:v>
      </x:c>
      <x:c r="O63" s="114" t="n">
        <x:f>IF(O6='Scenarios'!$C$56,'Scenarios'!$C$55,0)</x:f>
        <x:v>0</x:v>
      </x:c>
      <x:c r="P63" s="114" t="n">
        <x:f>IF(P6='Scenarios'!$C$56,'Scenarios'!$C$55,0)</x:f>
        <x:v>0</x:v>
      </x:c>
      <x:c r="Q63" s="114" t="n">
        <x:f>IF(Q6='Scenarios'!$C$56,'Scenarios'!$C$55,0)</x:f>
        <x:v>0</x:v>
      </x:c>
      <x:c r="R63" s="114" t="n">
        <x:f>IF(R6='Scenarios'!$C$56,'Scenarios'!$C$55,0)</x:f>
        <x:v>0</x:v>
      </x:c>
      <x:c r="S63" s="114" t="n">
        <x:f>IF(S6='Scenarios'!$C$56,'Scenarios'!$C$55,0)</x:f>
        <x:v>0</x:v>
      </x:c>
      <x:c r="T63" s="114" t="n">
        <x:f>IF(T6='Scenarios'!$C$56,'Scenarios'!$C$55,0)</x:f>
        <x:v>0</x:v>
      </x:c>
      <x:c r="U63" s="114" t="n">
        <x:f>IF(U6='Scenarios'!$C$56,'Scenarios'!$C$55,0)</x:f>
        <x:v>0</x:v>
      </x:c>
      <x:c r="V63" s="114" t="n">
        <x:f>IF(V6='Scenarios'!$C$56,'Scenarios'!$C$55,0)</x:f>
        <x:v>0</x:v>
      </x:c>
      <x:c r="W63" s="114" t="n">
        <x:f>IF(W6='Scenarios'!$C$56,'Scenarios'!$C$55,0)</x:f>
        <x:v>0</x:v>
      </x:c>
      <x:c r="X63" s="114" t="n">
        <x:f>IF(X6='Scenarios'!$C$56,'Scenarios'!$C$55,0)</x:f>
        <x:v>0</x:v>
      </x:c>
      <x:c r="Y63" s="114" t="n">
        <x:f>IF(Y6='Scenarios'!$C$56,'Scenarios'!$C$55,0)</x:f>
        <x:v>0</x:v>
      </x:c>
      <x:c r="Z63" s="114" t="n">
        <x:f>IF(Z6='Scenarios'!$C$56,'Scenarios'!$C$55,0)</x:f>
        <x:v>0</x:v>
      </x:c>
      <x:c r="AA63" s="114" t="n">
        <x:f>IF(AA6='Scenarios'!$C$56,'Scenarios'!$C$55,0)</x:f>
        <x:v>0</x:v>
      </x:c>
      <x:c r="AB63" s="114" t="n">
        <x:f>IF(AB6='Scenarios'!$C$56,'Scenarios'!$C$55,0)</x:f>
        <x:v>0</x:v>
      </x:c>
      <x:c r="AC63" s="114" t="n">
        <x:f>IF(AC6='Scenarios'!$C$56,'Scenarios'!$C$55,0)</x:f>
        <x:v>0</x:v>
      </x:c>
      <x:c r="AD63" s="114" t="n">
        <x:f>IF(AD6='Scenarios'!$C$56,'Scenarios'!$C$55,0)</x:f>
        <x:v>0</x:v>
      </x:c>
      <x:c r="AE63" s="114" t="n">
        <x:f>IF(AE6='Scenarios'!$C$56,'Scenarios'!$C$55,0)</x:f>
        <x:v>0</x:v>
      </x:c>
      <x:c r="AF63" s="114" t="n">
        <x:f>IF(AF6='Scenarios'!$C$56,'Scenarios'!$C$55,0)</x:f>
        <x:v>0</x:v>
      </x:c>
      <x:c r="AG63" s="114" t="n">
        <x:f>IF(AG6='Scenarios'!$C$56,'Scenarios'!$C$55,0)</x:f>
        <x:v>0</x:v>
      </x:c>
      <x:c r="AH63" s="114" t="n">
        <x:f>IF(AH6='Scenarios'!$C$56,'Scenarios'!$C$55,0)</x:f>
        <x:v>0</x:v>
      </x:c>
      <x:c r="AI63" s="114" t="n">
        <x:f>IF(AI6='Scenarios'!$C$56,'Scenarios'!$C$55,0)</x:f>
        <x:v>0</x:v>
      </x:c>
      <x:c r="AJ63" s="114" t="n">
        <x:f>IF(AJ6='Scenarios'!$C$56,'Scenarios'!$C$55,0)</x:f>
        <x:v>0</x:v>
      </x:c>
      <x:c r="AK63" s="114" t="n">
        <x:f>IF(AK6='Scenarios'!$C$56,'Scenarios'!$C$55,0)</x:f>
        <x:v>0</x:v>
      </x:c>
      <x:c r="AL63" s="114" t="n">
        <x:f>IF(AL6='Scenarios'!$C$56,'Scenarios'!$C$55,0)</x:f>
        <x:v>0</x:v>
      </x:c>
    </x:row>
    <x:row r="64">
      <x:c r="A64" s="84" t="str">
        <x:v>Repeatable-delivery spend</x:v>
      </x:c>
      <x:c r="B64" s="84" t="str">
        <x:v>$</x:v>
      </x:c>
      <x:c r="C64" s="114" t="n">
        <x:f>IF(C6='Scenarios'!$C$58,'Scenarios'!$C$57,0)</x:f>
        <x:v>0</x:v>
      </x:c>
      <x:c r="D64" s="114" t="n">
        <x:f>IF(D6='Scenarios'!$C$58,'Scenarios'!$C$57,0)</x:f>
        <x:v>0</x:v>
      </x:c>
      <x:c r="E64" s="114" t="n">
        <x:f>IF(E6='Scenarios'!$C$58,'Scenarios'!$C$57,0)</x:f>
        <x:v>0</x:v>
      </x:c>
      <x:c r="F64" s="114" t="n">
        <x:f>IF(F6='Scenarios'!$C$58,'Scenarios'!$C$57,0)</x:f>
        <x:v>0</x:v>
      </x:c>
      <x:c r="G64" s="114" t="n">
        <x:f>IF(G6='Scenarios'!$C$58,'Scenarios'!$C$57,0)</x:f>
        <x:v>0</x:v>
      </x:c>
      <x:c r="H64" s="114" t="n">
        <x:f>IF(H6='Scenarios'!$C$58,'Scenarios'!$C$57,0)</x:f>
        <x:v>0</x:v>
      </x:c>
      <x:c r="I64" s="114" t="n">
        <x:f>IF(I6='Scenarios'!$C$58,'Scenarios'!$C$57,0)</x:f>
        <x:v>0</x:v>
      </x:c>
      <x:c r="J64" s="114" t="n">
        <x:f>IF(J6='Scenarios'!$C$58,'Scenarios'!$C$57,0)</x:f>
        <x:v>0</x:v>
      </x:c>
      <x:c r="K64" s="114" t="n">
        <x:f>IF(K6='Scenarios'!$C$58,'Scenarios'!$C$57,0)</x:f>
        <x:v>0</x:v>
      </x:c>
      <x:c r="L64" s="114" t="n">
        <x:f>IF(L6='Scenarios'!$C$58,'Scenarios'!$C$57,0)</x:f>
        <x:v>0</x:v>
      </x:c>
      <x:c r="M64" s="114" t="n">
        <x:f>IF(M6='Scenarios'!$C$58,'Scenarios'!$C$57,0)</x:f>
        <x:v>0</x:v>
      </x:c>
      <x:c r="N64" s="114" t="n">
        <x:f>IF(N6='Scenarios'!$C$58,'Scenarios'!$C$57,0)</x:f>
        <x:v>0</x:v>
      </x:c>
      <x:c r="O64" s="114" t="n">
        <x:f>IF(O6='Scenarios'!$C$58,'Scenarios'!$C$57,0)</x:f>
        <x:v>0</x:v>
      </x:c>
      <x:c r="P64" s="114" t="n">
        <x:f>IF(P6='Scenarios'!$C$58,'Scenarios'!$C$57,0)</x:f>
        <x:v>0</x:v>
      </x:c>
      <x:c r="Q64" s="114" t="n">
        <x:f>IF(Q6='Scenarios'!$C$58,'Scenarios'!$C$57,0)</x:f>
        <x:v>0</x:v>
      </x:c>
      <x:c r="R64" s="114" t="n">
        <x:f>IF(R6='Scenarios'!$C$58,'Scenarios'!$C$57,0)</x:f>
        <x:v>0</x:v>
      </x:c>
      <x:c r="S64" s="114" t="n">
        <x:f>IF(S6='Scenarios'!$C$58,'Scenarios'!$C$57,0)</x:f>
        <x:v>0</x:v>
      </x:c>
      <x:c r="T64" s="114" t="n">
        <x:f>IF(T6='Scenarios'!$C$58,'Scenarios'!$C$57,0)</x:f>
        <x:v>0</x:v>
      </x:c>
      <x:c r="U64" s="114" t="n">
        <x:f>IF(U6='Scenarios'!$C$58,'Scenarios'!$C$57,0)</x:f>
        <x:v>0</x:v>
      </x:c>
      <x:c r="V64" s="114" t="n">
        <x:f>IF(V6='Scenarios'!$C$58,'Scenarios'!$C$57,0)</x:f>
        <x:v>0</x:v>
      </x:c>
      <x:c r="W64" s="114" t="n">
        <x:f>IF(W6='Scenarios'!$C$58,'Scenarios'!$C$57,0)</x:f>
        <x:v>0</x:v>
      </x:c>
      <x:c r="X64" s="114" t="n">
        <x:f>IF(X6='Scenarios'!$C$58,'Scenarios'!$C$57,0)</x:f>
        <x:v>0</x:v>
      </x:c>
      <x:c r="Y64" s="114" t="n">
        <x:f>IF(Y6='Scenarios'!$C$58,'Scenarios'!$C$57,0)</x:f>
        <x:v>0</x:v>
      </x:c>
      <x:c r="Z64" s="114" t="n">
        <x:f>IF(Z6='Scenarios'!$C$58,'Scenarios'!$C$57,0)</x:f>
        <x:v>0</x:v>
      </x:c>
      <x:c r="AA64" s="114" t="n">
        <x:f>IF(AA6='Scenarios'!$C$58,'Scenarios'!$C$57,0)</x:f>
        <x:v>0</x:v>
      </x:c>
      <x:c r="AB64" s="114" t="n">
        <x:f>IF(AB6='Scenarios'!$C$58,'Scenarios'!$C$57,0)</x:f>
        <x:v>0</x:v>
      </x:c>
      <x:c r="AC64" s="114" t="n">
        <x:f>IF(AC6='Scenarios'!$C$58,'Scenarios'!$C$57,0)</x:f>
        <x:v>0</x:v>
      </x:c>
      <x:c r="AD64" s="114" t="n">
        <x:f>IF(AD6='Scenarios'!$C$58,'Scenarios'!$C$57,0)</x:f>
        <x:v>0</x:v>
      </x:c>
      <x:c r="AE64" s="114" t="n">
        <x:f>IF(AE6='Scenarios'!$C$58,'Scenarios'!$C$57,0)</x:f>
        <x:v>0</x:v>
      </x:c>
      <x:c r="AF64" s="114" t="n">
        <x:f>IF(AF6='Scenarios'!$C$58,'Scenarios'!$C$57,0)</x:f>
        <x:v>0</x:v>
      </x:c>
      <x:c r="AG64" s="114" t="n">
        <x:f>IF(AG6='Scenarios'!$C$58,'Scenarios'!$C$57,0)</x:f>
        <x:v>0</x:v>
      </x:c>
      <x:c r="AH64" s="114" t="n">
        <x:f>IF(AH6='Scenarios'!$C$58,'Scenarios'!$C$57,0)</x:f>
        <x:v>0</x:v>
      </x:c>
      <x:c r="AI64" s="114" t="n">
        <x:f>IF(AI6='Scenarios'!$C$58,'Scenarios'!$C$57,0)</x:f>
        <x:v>0</x:v>
      </x:c>
      <x:c r="AJ64" s="114" t="n">
        <x:f>IF(AJ6='Scenarios'!$C$58,'Scenarios'!$C$57,0)</x:f>
        <x:v>0</x:v>
      </x:c>
      <x:c r="AK64" s="114" t="n">
        <x:f>IF(AK6='Scenarios'!$C$58,'Scenarios'!$C$57,0)</x:f>
        <x:v>0</x:v>
      </x:c>
      <x:c r="AL64" s="114" t="n">
        <x:f>IF(AL6='Scenarios'!$C$58,'Scenarios'!$C$57,0)</x:f>
        <x:v>0</x:v>
      </x:c>
    </x:row>
    <x:row r="65">
      <x:c r="A65" s="84" t="str">
        <x:v>Total cash operating expense</x:v>
      </x:c>
      <x:c r="B65" s="84" t="str">
        <x:v>$</x:v>
      </x:c>
      <x:c r="C65" s="114" t="n">
        <x:f>SUM(C56,C58:C64)</x:f>
        <x:v>6000</x:v>
      </x:c>
      <x:c r="D65" s="114" t="n">
        <x:f>SUM(D56,D58:D64)</x:f>
        <x:v>2000</x:v>
      </x:c>
      <x:c r="E65" s="114" t="n">
        <x:f>SUM(E56,E58:E64)</x:f>
        <x:v>2000</x:v>
      </x:c>
      <x:c r="F65" s="114" t="n">
        <x:f>SUM(F56,F58:F64)</x:f>
        <x:v>2000</x:v>
      </x:c>
      <x:c r="G65" s="114" t="n">
        <x:f>SUM(G56,G58:G64)</x:f>
        <x:v>2000</x:v>
      </x:c>
      <x:c r="H65" s="114" t="n">
        <x:f>SUM(H56,H58:H64)</x:f>
        <x:v>2000</x:v>
      </x:c>
      <x:c r="I65" s="114" t="n">
        <x:f>SUM(I56,I58:I64)</x:f>
        <x:v>2000</x:v>
      </x:c>
      <x:c r="J65" s="114" t="n">
        <x:f>SUM(J56,J58:J64)</x:f>
        <x:v>2000</x:v>
      </x:c>
      <x:c r="K65" s="114" t="n">
        <x:f>SUM(K56,K58:K64)</x:f>
        <x:v>2000</x:v>
      </x:c>
      <x:c r="L65" s="114" t="n">
        <x:f>SUM(L56,L58:L64)</x:f>
        <x:v>2000</x:v>
      </x:c>
      <x:c r="M65" s="114" t="n">
        <x:f>SUM(M56,M58:M64)</x:f>
        <x:v>2000</x:v>
      </x:c>
      <x:c r="N65" s="114" t="n">
        <x:f>SUM(N56,N58:N64)</x:f>
        <x:v>2000</x:v>
      </x:c>
      <x:c r="O65" s="114" t="n">
        <x:f>SUM(O56,O58:O64)</x:f>
        <x:v>2000</x:v>
      </x:c>
      <x:c r="P65" s="114" t="n">
        <x:f>SUM(P56,P58:P64)</x:f>
        <x:v>2000</x:v>
      </x:c>
      <x:c r="Q65" s="114" t="n">
        <x:f>SUM(Q56,Q58:Q64)</x:f>
        <x:v>2000</x:v>
      </x:c>
      <x:c r="R65" s="114" t="n">
        <x:f>SUM(R56,R58:R64)</x:f>
        <x:v>2000</x:v>
      </x:c>
      <x:c r="S65" s="114" t="n">
        <x:f>SUM(S56,S58:S64)</x:f>
        <x:v>2000</x:v>
      </x:c>
      <x:c r="T65" s="114" t="n">
        <x:f>SUM(T56,T58:T64)</x:f>
        <x:v>2000</x:v>
      </x:c>
      <x:c r="U65" s="114" t="n">
        <x:f>SUM(U56,U58:U64)</x:f>
        <x:v>2000</x:v>
      </x:c>
      <x:c r="V65" s="114" t="n">
        <x:f>SUM(V56,V58:V64)</x:f>
        <x:v>2000</x:v>
      </x:c>
      <x:c r="W65" s="114" t="n">
        <x:f>SUM(W56,W58:W64)</x:f>
        <x:v>2000</x:v>
      </x:c>
      <x:c r="X65" s="114" t="n">
        <x:f>SUM(X56,X58:X64)</x:f>
        <x:v>2000</x:v>
      </x:c>
      <x:c r="Y65" s="114" t="n">
        <x:f>SUM(Y56,Y58:Y64)</x:f>
        <x:v>2000</x:v>
      </x:c>
      <x:c r="Z65" s="114" t="n">
        <x:f>SUM(Z56,Z58:Z64)</x:f>
        <x:v>2000</x:v>
      </x:c>
      <x:c r="AA65" s="114" t="n">
        <x:f>SUM(AA56,AA58:AA64)</x:f>
        <x:v>2000</x:v>
      </x:c>
      <x:c r="AB65" s="114" t="n">
        <x:f>SUM(AB56,AB58:AB64)</x:f>
        <x:v>2000</x:v>
      </x:c>
      <x:c r="AC65" s="114" t="n">
        <x:f>SUM(AC56,AC58:AC64)</x:f>
        <x:v>2000</x:v>
      </x:c>
      <x:c r="AD65" s="114" t="n">
        <x:f>SUM(AD56,AD58:AD64)</x:f>
        <x:v>2000</x:v>
      </x:c>
      <x:c r="AE65" s="114" t="n">
        <x:f>SUM(AE56,AE58:AE64)</x:f>
        <x:v>2000</x:v>
      </x:c>
      <x:c r="AF65" s="114" t="n">
        <x:f>SUM(AF56,AF58:AF64)</x:f>
        <x:v>2000</x:v>
      </x:c>
      <x:c r="AG65" s="114" t="n">
        <x:f>SUM(AG56,AG58:AG64)</x:f>
        <x:v>2000</x:v>
      </x:c>
      <x:c r="AH65" s="114" t="n">
        <x:f>SUM(AH56,AH58:AH64)</x:f>
        <x:v>2000</x:v>
      </x:c>
      <x:c r="AI65" s="114" t="n">
        <x:f>SUM(AI56,AI58:AI64)</x:f>
        <x:v>2000</x:v>
      </x:c>
      <x:c r="AJ65" s="114" t="n">
        <x:f>SUM(AJ56,AJ58:AJ64)</x:f>
        <x:v>2000</x:v>
      </x:c>
      <x:c r="AK65" s="114" t="n">
        <x:f>SUM(AK56,AK58:AK64)</x:f>
        <x:v>2000</x:v>
      </x:c>
      <x:c r="AL65" s="114" t="n">
        <x:f>SUM(AL56,AL58:AL64)</x:f>
        <x:v>2000</x:v>
      </x:c>
    </x:row>
    <x:row r="66">
      <x:c r="A66" s="84" t="str">
        <x:v>Total normalized operating expense</x:v>
      </x:c>
      <x:c r="B66" s="84" t="str">
        <x:v>$</x:v>
      </x:c>
      <x:c r="C66" s="114" t="n">
        <x:f>C65-C56+C57</x:f>
        <x:v>16578.333333333336</x:v>
      </x:c>
      <x:c r="D66" s="114" t="n">
        <x:f>D65-D56+D57</x:f>
        <x:v>12132.083333333334</x:v>
      </x:c>
      <x:c r="E66" s="114" t="n">
        <x:f>E65-E56+E57</x:f>
        <x:v>12084.799427083335</x:v>
      </x:c>
      <x:c r="F66" s="114" t="n">
        <x:f>F65-F56+F57</x:f>
        <x:v>11798.934038020834</x:v>
      </x:c>
      <x:c r="G66" s="114" t="n">
        <x:f>G65-G56+G57</x:f>
        <x:v>11334.44461063021</x:v>
      </x:c>
      <x:c r="H66" s="114" t="n">
        <x:f>H65-H56+H57</x:f>
        <x:v>11246.787366061304</x:v>
      </x:c>
      <x:c r="I66" s="114" t="n">
        <x:f>I65-I56+I57</x:f>
        <x:v>11161.759838829465</x:v>
      </x:c>
      <x:c r="J66" s="114" t="n">
        <x:f>J65-J56+J57</x:f>
        <x:v>11079.283137414579</x:v>
      </x:c>
      <x:c r="K66" s="114" t="n">
        <x:f>K65-K56+K57</x:f>
        <x:v>10999.280737042143</x:v>
      </x:c>
      <x:c r="L66" s="114" t="n">
        <x:f>L65-L56+L57</x:f>
        <x:v>10921.678408680878</x:v>
      </x:c>
      <x:c r="M66" s="114" t="n">
        <x:f>M65-M56+M57</x:f>
        <x:v>10846.404150170452</x:v>
      </x:c>
      <x:c r="N66" s="114" t="n">
        <x:f>N65-N56+N57</x:f>
        <x:v>10773.388119415338</x:v>
      </x:c>
      <x:c r="O66" s="114" t="n">
        <x:f>O65-O56+O57</x:f>
        <x:v>10447.562569582878</x:v>
      </x:c>
      <x:c r="P66" s="114" t="n">
        <x:f>P65-P56+P57</x:f>
        <x:v>9932.611786245392</x:v>
      </x:c>
      <x:c r="Q66" s="114" t="n">
        <x:f>Q65-Q56+Q57</x:f>
        <x:v>9818.68812015803</x:v>
      </x:c>
      <x:c r="R66" s="114" t="n">
        <x:f>R65-R56+R57</x:f>
        <x:v>9708.182164053289</x:v>
      </x:c>
      <x:c r="S66" s="114" t="n">
        <x:f>S65-S56+S57</x:f>
        <x:v>9600.991386631691</x:v>
      </x:c>
      <x:c r="T66" s="114" t="n">
        <x:f>T65-T56+T57</x:f>
        <x:v>9497.01633253274</x:v>
      </x:c>
      <x:c r="U66" s="114" t="n">
        <x:f>U65-U56+U57</x:f>
        <x:v>9141.160530056757</x:v>
      </x:c>
      <x:c r="V66" s="114" t="n">
        <x:f>V65-V56+V57</x:f>
        <x:v>8597.080401655054</x:v>
      </x:c>
      <x:c r="W66" s="114" t="n">
        <x:f>W65-W56+W57</x:f>
        <x:v>8454.901270855404</x:v>
      </x:c>
      <x:c r="X66" s="114" t="n">
        <x:f>X65-X56+X57</x:f>
        <x:v>8316.98751397974</x:v>
      </x:c>
      <x:c r="Y66" s="114" t="n">
        <x:f>Y65-Y56+Y57</x:f>
        <x:v>8183.211169810348</x:v>
      </x:c>
      <x:c r="Z66" s="114" t="n">
        <x:f>Z65-Z56+Z57</x:f>
        <x:v>8053.448115966038</x:v>
      </x:c>
      <x:c r="AA66" s="114" t="n">
        <x:f>AA65-AA56+AA57</x:f>
        <x:v>7807.577953737057</x:v>
      </x:c>
      <x:c r="AB66" s="114" t="n">
        <x:f>AB65-AB56+AB57</x:f>
        <x:v>7475.483896374945</x:v>
      </x:c>
      <x:c r="AC66" s="114" t="n">
        <x:f>AC65-AC56+AC57</x:f>
        <x:v>7334.8014107336985</x:v>
      </x:c>
      <x:c r="AD66" s="114" t="n">
        <x:f>AD65-AD56+AD57</x:f>
        <x:v>7198.339399661687</x:v>
      </x:c>
      <x:c r="AE66" s="114" t="n">
        <x:f>AE65-AE56+AE57</x:f>
        <x:v>7065.971248921836</x:v>
      </x:c>
      <x:c r="AF66" s="114" t="n">
        <x:f>AF65-AF56+AF57</x:f>
        <x:v>6937.574142704182</x:v>
      </x:c>
      <x:c r="AG66" s="114" t="n">
        <x:f>AG65-AG56+AG57</x:f>
        <x:v>6813.028949673056</x:v>
      </x:c>
      <x:c r="AH66" s="114" t="n">
        <x:f>AH65-AH56+AH57</x:f>
        <x:v>6692.220112432865</x:v>
      </x:c>
      <x:c r="AI66" s="114" t="n">
        <x:f>AI65-AI56+AI57</x:f>
        <x:v>6575.035540309878</x:v>
      </x:c>
      <x:c r="AJ66" s="114" t="n">
        <x:f>AJ65-AJ56+AJ57</x:f>
        <x:v>6461.366505350583</x:v>
      </x:c>
      <x:c r="AK66" s="114" t="n">
        <x:f>AK65-AK56+AK57</x:f>
        <x:v>6351.107541440064</x:v>
      </x:c>
      <x:c r="AL66" s="114" t="n">
        <x:f>AL65-AL56+AL57</x:f>
        <x:v>6333.333333333334</x:v>
      </x:c>
    </x:row>
    <x:row r="67">
      <x:c r="A67" s="84" t="str">
        <x:v>Cash operating profit / (loss)</x:v>
      </x:c>
      <x:c r="B67" s="84" t="str">
        <x:v>$</x:v>
      </x:c>
      <x:c r="C67" s="114" t="n">
        <x:f>C51-C65</x:f>
        <x:v>-5675.181</x:v>
      </x:c>
      <x:c r="D67" s="114" t="n">
        <x:f>D51-D65</x:f>
        <x:v>-1288.6463899999999</x:v>
      </x:c>
      <x:c r="E67" s="114" t="n">
        <x:f>E51-E65</x:f>
        <x:v>-1231.026604875</x:v>
      </x:c>
      <x:c r="F67" s="114" t="n">
        <x:f>F51-F65</x:f>
        <x:v>-869.4234133037501</x:v>
      </x:c>
      <x:c r="G67" s="114" t="n">
        <x:f>G51-G65</x:f>
        <x:v>-451.41167747963755</x:v>
      </x:c>
      <x:c r="H67" s="114" t="n">
        <x:f>H51-H65</x:f>
        <x:v>-344.59326933024863</x:v>
      </x:c>
      <x:c r="I67" s="114" t="n">
        <x:f>I51-I65</x:f>
        <x:v>-240.97941342534114</x:v>
      </x:c>
      <x:c r="J67" s="114" t="n">
        <x:f>J51-J65</x:f>
        <x:v>-140.47397319758102</x:v>
      </x:c>
      <x:c r="K67" s="114" t="n">
        <x:f>K51-K65</x:f>
        <x:v>-42.983696176653666</x:v>
      </x:c>
      <x:c r="L67" s="114" t="n">
        <x:f>L51-L65</x:f>
        <x:v>51.581872533646674</x:v>
      </x:c>
      <x:c r="M67" s="114" t="n">
        <x:f>M51-M65</x:f>
        <x:v>143.31047418263688</x:v>
      </x:c>
      <x:c r="N67" s="114" t="n">
        <x:f>N51-N65</x:f>
        <x:v>232.28721778215777</x:v>
      </x:c>
      <x:c r="O67" s="114" t="n">
        <x:f>O51-O65</x:f>
        <x:v>643.4136590736925</x:v>
      </x:c>
      <x:c r="P67" s="114" t="n">
        <x:f>P51-P65</x:f>
        <x:v>1113.6664871264816</x:v>
      </x:c>
      <x:c r="Q67" s="114" t="n">
        <x:f>Q51-Q65</x:f>
        <x:v>1252.4929437626874</x:v>
      </x:c>
      <x:c r="R67" s="114" t="n">
        <x:f>R51-R65</x:f>
        <x:v>1387.1546066998071</x:v>
      </x:c>
      <x:c r="S67" s="114" t="n">
        <x:f>S51-S65</x:f>
        <x:v>1517.7764197488127</x:v>
      </x:c>
      <x:c r="T67" s="114" t="n">
        <x:f>T51-T65</x:f>
        <x:v>1644.4795784063485</x:v>
      </x:c>
      <x:c r="U67" s="114" t="n">
        <x:f>U51-U65</x:f>
        <x:v>2092.2006423041576</x:v>
      </x:c>
      <x:c r="V67" s="114" t="n">
        <x:f>V51-V65</x:f>
        <x:v>2597.950254285033</x:v>
      </x:c>
      <x:c r="W67" s="114" t="n">
        <x:f>W51-W65</x:f>
        <x:v>2771.2085913314822</x:v>
      </x:c>
      <x:c r="X67" s="114" t="n">
        <x:f>X51-X65</x:f>
        <x:v>2939.269178266538</x:v>
      </x:c>
      <x:c r="Y67" s="114" t="n">
        <x:f>Y51-Y65</x:f>
        <x:v>3102.2879475935424</x:v>
      </x:c>
      <x:c r="Z67" s="114" t="n">
        <x:f>Z51-Z65</x:f>
        <x:v>3260.416153840735</x:v>
      </x:c>
      <x:c r="AA67" s="114" t="n">
        <x:f>AA51-AA65</x:f>
        <x:v>3566.6565139005133</x:v>
      </x:c>
      <x:c r="AB67" s="114" t="n">
        <x:f>AB51-AB65</x:f>
        <x:v>3897.337983158499</x:v>
      </x:c>
      <x:c r="AC67" s="114" t="n">
        <x:f>AC51-AC65</x:f>
        <x:v>4068.7725205387433</x:v>
      </x:c>
      <x:c r="AD67" s="114" t="n">
        <x:f>AD51-AD65</x:f>
        <x:v>4235.064021797581</x:v>
      </x:c>
      <x:c r="AE67" s="114" t="n">
        <x:f>AE51-AE65</x:f>
        <x:v>4396.366778018653</x:v>
      </x:c>
      <x:c r="AF67" s="114" t="n">
        <x:f>AF51-AF65</x:f>
        <x:v>4552.830451553094</x:v>
      </x:c>
      <x:c r="AG67" s="114" t="n">
        <x:f>AG51-AG65</x:f>
        <x:v>4704.6002148815</x:v>
      </x:c>
      <x:c r="AH67" s="114" t="n">
        <x:f>AH51-AH65</x:f>
        <x:v>4851.816885310054</x:v>
      </x:c>
      <x:c r="AI67" s="114" t="n">
        <x:f>AI51-AI65</x:f>
        <x:v>4994.617055625755</x:v>
      </x:c>
      <x:c r="AJ67" s="114" t="n">
        <x:f>AJ51-AJ65</x:f>
        <x:v>5133.133220831981</x:v>
      </x:c>
      <x:c r="AK67" s="114" t="n">
        <x:f>AK51-AK65</x:f>
        <x:v>5267.493901082023</x:v>
      </x:c>
      <x:c r="AL67" s="114" t="n">
        <x:f>AL51-AL65</x:f>
        <x:v>5326.482171415386</x:v>
      </x:c>
    </x:row>
    <x:row r="68">
      <x:c r="A68" s="84" t="str">
        <x:v>Normalized operating profit / (loss)</x:v>
      </x:c>
      <x:c r="B68" s="84" t="str">
        <x:v>$</x:v>
      </x:c>
      <x:c r="C68" s="114" t="n">
        <x:f>C53-C66</x:f>
        <x:v>-16508.514333333336</x:v>
      </x:c>
      <x:c r="D68" s="114" t="n">
        <x:f>D53-D66</x:f>
        <x:v>-12121.979723333334</x:v>
      </x:c>
      <x:c r="E68" s="114" t="n">
        <x:f>E53-E66</x:f>
        <x:v>-12064.359938208336</x:v>
      </x:c>
      <x:c r="F68" s="114" t="n">
        <x:f>F53-F66</x:f>
        <x:v>-11702.756746637084</x:v>
      </x:c>
      <x:c r="G68" s="114" t="n">
        <x:f>G53-G66</x:f>
        <x:v>-11284.745010812972</x:v>
      </x:c>
      <x:c r="H68" s="114" t="n">
        <x:f>H53-H66</x:f>
        <x:v>-11177.926602663583</x:v>
      </x:c>
      <x:c r="I68" s="114" t="n">
        <x:f>I53-I66</x:f>
        <x:v>-11074.312746758676</x:v>
      </x:c>
      <x:c r="J68" s="114" t="n">
        <x:f>J53-J66</x:f>
        <x:v>-10973.807306530915</x:v>
      </x:c>
      <x:c r="K68" s="114" t="n">
        <x:f>K53-K66</x:f>
        <x:v>-10876.317029509988</x:v>
      </x:c>
      <x:c r="L68" s="114" t="n">
        <x:f>L53-L66</x:f>
        <x:v>-10781.751460799687</x:v>
      </x:c>
      <x:c r="M68" s="114" t="n">
        <x:f>M53-M66</x:f>
        <x:v>-10690.022859150697</x:v>
      </x:c>
      <x:c r="N68" s="114" t="n">
        <x:f>N53-N66</x:f>
        <x:v>-10601.046115551177</x:v>
      </x:c>
      <x:c r="O68" s="114" t="n">
        <x:f>O53-O66</x:f>
        <x:v>-10189.919674259641</x:v>
      </x:c>
      <x:c r="P68" s="114" t="n">
        <x:f>P53-P66</x:f>
        <x:v>-9719.666846206852</x:v>
      </x:c>
      <x:c r="Q68" s="114" t="n">
        <x:f>Q53-Q66</x:f>
        <x:v>-9580.840389570647</x:v>
      </x:c>
      <x:c r="R68" s="114" t="n">
        <x:f>R53-R66</x:f>
        <x:v>-9446.178726633527</x:v>
      </x:c>
      <x:c r="S68" s="114" t="n">
        <x:f>S53-S66</x:f>
        <x:v>-9315.556913584522</x:v>
      </x:c>
      <x:c r="T68" s="114" t="n">
        <x:f>T53-T66</x:f>
        <x:v>-9188.853754926986</x:v>
      </x:c>
      <x:c r="U68" s="114" t="n">
        <x:f>U53-U66</x:f>
        <x:v>-8741.132691029175</x:v>
      </x:c>
      <x:c r="V68" s="114" t="n">
        <x:f>V53-V66</x:f>
        <x:v>-8235.3830790483</x:v>
      </x:c>
      <x:c r="W68" s="114" t="n">
        <x:f>W53-W66</x:f>
        <x:v>-8062.124742001852</x:v>
      </x:c>
      <x:c r="X68" s="114" t="n">
        <x:f>X53-X66</x:f>
        <x:v>-7894.064155066795</x:v>
      </x:c>
      <x:c r="Y68" s="114" t="n">
        <x:f>Y53-Y66</x:f>
        <x:v>-7731.0453857397915</x:v>
      </x:c>
      <x:c r="Z68" s="114" t="n">
        <x:f>Z53-Z66</x:f>
        <x:v>-7572.917179492599</x:v>
      </x:c>
      <x:c r="AA68" s="114" t="n">
        <x:f>AA53-AA66</x:f>
        <x:v>-7266.676819432821</x:v>
      </x:c>
      <x:c r="AB68" s="114" t="n">
        <x:f>AB53-AB66</x:f>
        <x:v>-6935.995350174835</x:v>
      </x:c>
      <x:c r="AC68" s="114" t="n">
        <x:f>AC53-AC66</x:f>
        <x:v>-6764.560812794591</x:v>
      </x:c>
      <x:c r="AD68" s="114" t="n">
        <x:f>AD53-AD66</x:f>
        <x:v>-6598.269311535753</x:v>
      </x:c>
      <x:c r="AE68" s="114" t="n">
        <x:f>AE53-AE66</x:f>
        <x:v>-6436.9665553146815</x:v>
      </x:c>
      <x:c r="AF68" s="114" t="n">
        <x:f>AF53-AF66</x:f>
        <x:v>-6280.50288178024</x:v>
      </x:c>
      <x:c r="AG68" s="114" t="n">
        <x:f>AG53-AG66</x:f>
        <x:v>-6128.733118451834</x:v>
      </x:c>
      <x:c r="AH68" s="114" t="n">
        <x:f>AH53-AH66</x:f>
        <x:v>-5981.51644802328</x:v>
      </x:c>
      <x:c r="AI68" s="114" t="n">
        <x:f>AI53-AI66</x:f>
        <x:v>-5838.716277707579</x:v>
      </x:c>
      <x:c r="AJ68" s="114" t="n">
        <x:f>AJ53-AJ66</x:f>
        <x:v>-5700.200112501353</x:v>
      </x:c>
      <x:c r="AK68" s="114" t="n">
        <x:f>AK53-AK66</x:f>
        <x:v>-5565.839432251311</x:v>
      </x:c>
      <x:c r="AL68" s="114" t="n">
        <x:f>AL53-AL66</x:f>
        <x:v>-5506.851161917948</x:v>
      </x:c>
    </x:row>
    <x:row r="69">
      <x:c r="A69" s="63" t="str">
        <x:v>CASH + FUNDING</x:v>
      </x:c>
      <x:c r="B69" s="63" t="str"/>
      <x:c r="C69" s="112"/>
      <x:c r="D69" s="112"/>
      <x:c r="E69" s="112"/>
      <x:c r="F69" s="112"/>
      <x:c r="G69" s="112"/>
      <x:c r="H69" s="112"/>
      <x:c r="I69" s="112"/>
      <x:c r="J69" s="112"/>
      <x:c r="K69" s="112"/>
      <x:c r="L69" s="112"/>
      <x:c r="M69" s="112"/>
      <x:c r="N69" s="112"/>
      <x:c r="O69" s="112"/>
      <x:c r="P69" s="112"/>
      <x:c r="Q69" s="112"/>
      <x:c r="R69" s="112"/>
      <x:c r="S69" s="112"/>
      <x:c r="T69" s="112"/>
      <x:c r="U69" s="112"/>
      <x:c r="V69" s="112"/>
      <x:c r="W69" s="112"/>
      <x:c r="X69" s="112"/>
      <x:c r="Y69" s="112"/>
      <x:c r="Z69" s="112"/>
      <x:c r="AA69" s="112"/>
      <x:c r="AB69" s="112"/>
      <x:c r="AC69" s="112"/>
      <x:c r="AD69" s="112"/>
      <x:c r="AE69" s="112"/>
      <x:c r="AF69" s="112"/>
      <x:c r="AG69" s="112"/>
      <x:c r="AH69" s="112"/>
      <x:c r="AI69" s="112"/>
      <x:c r="AJ69" s="112"/>
      <x:c r="AK69" s="112"/>
      <x:c r="AL69" s="112"/>
    </x:row>
    <x:row r="70">
      <x:c r="A70" s="84" t="str">
        <x:v>Revenue cash receipts</x:v>
      </x:c>
      <x:c r="B70" s="84" t="str">
        <x:v>$</x:v>
      </x:c>
      <x:c r="C70" s="114" t="n">
        <x:f>C28*'Scenarios'!$C$59</x:f>
        <x:v>286.11000000000007</x:v>
      </x:c>
      <x:c r="D70" s="114" t="n">
        <x:f>D28*'Scenarios'!$C$59+C28*(1-'Scenarios'!$C$59)</x:f>
        <x:v>677.0709</x:v>
      </x:c>
      <x:c r="E70" s="114" t="n">
        <x:f>E28*'Scenarios'!$C$59+D28*(1-'Scenarios'!$C$59)</x:f>
        <x:v>793.14811125</x:v>
      </x:c>
      <x:c r="F70" s="114" t="n">
        <x:f>F28*'Scenarios'!$C$59+E28*(1-'Scenarios'!$C$59)</x:f>
        <x:v>1126.6237129125</x:v>
      </x:c>
      <x:c r="G70" s="114" t="n">
        <x:f>G28*'Scenarios'!$C$59+F28*(1-'Scenarios'!$C$59)</x:f>
        <x:v>1556.8566465251251</x:v>
      </x:c>
      <x:c r="H70" s="114" t="n">
        <x:f>H28*'Scenarios'!$C$59+G28*(1-'Scenarios'!$C$59)</x:f>
        <x:v>1726.507428129371</x:v>
      </x:c>
      <x:c r="I70" s="114" t="n">
        <x:f>I28*'Scenarios'!$C$59+H28*(1-'Scenarios'!$C$59)</x:f>
        <x:v>1845.5164102854899</x:v>
      </x:c>
      <x:c r="J70" s="114" t="n">
        <x:f>J28*'Scenarios'!$C$59+I28*(1-'Scenarios'!$C$59)</x:f>
        <x:v>1960.9551229769252</x:v>
      </x:c>
      <x:c r="K70" s="114" t="n">
        <x:f>K28*'Scenarios'!$C$59+J28*(1-'Scenarios'!$C$59)</x:f>
        <x:v>2072.9306742876174</x:v>
      </x:c>
      <x:c r="L70" s="114" t="n">
        <x:f>L28*'Scenarios'!$C$59+K28*(1-'Scenarios'!$C$59)</x:f>
        <x:v>2181.546959058989</x:v>
      </x:c>
      <x:c r="M70" s="114" t="n">
        <x:f>M28*'Scenarios'!$C$59+L28*(1-'Scenarios'!$C$59)</x:f>
        <x:v>2286.9047552872194</x:v>
      </x:c>
      <x:c r="N70" s="114" t="n">
        <x:f>N28*'Scenarios'!$C$59+M28*(1-'Scenarios'!$C$59)</x:f>
        <x:v>2389.1018176286025</x:v>
      </x:c>
      <x:c r="O70" s="114" t="n">
        <x:f>O28*'Scenarios'!$C$59+N28*(1-'Scenarios'!$C$59)</x:f>
        <x:v>2774.342968099744</x:v>
      </x:c>
      <x:c r="P70" s="114" t="n">
        <x:f>P28*'Scenarios'!$C$59+O28*(1-'Scenarios'!$C$59)</x:f>
        <x:v>3261.4610840567516</x:v>
      </x:c>
      <x:c r="Q70" s="114" t="n">
        <x:f>Q28*'Scenarios'!$C$59+P28*(1-'Scenarios'!$C$59)</x:f>
        <x:v>3470.8107947850494</x:v>
      </x:c>
      <x:c r="R70" s="114" t="n">
        <x:f>R28*'Scenarios'!$C$59+Q28*(1-'Scenarios'!$C$59)</x:f>
        <x:v>3625.480720941498</x:v>
      </x:c>
      <x:c r="S70" s="114" t="n">
        <x:f>S28*'Scenarios'!$C$59+R28*(1-'Scenarios'!$C$59)</x:f>
        <x:v>3775.5105493132533</x:v>
      </x:c>
      <x:c r="T70" s="114" t="n">
        <x:f>T28*'Scenarios'!$C$59+S28*(1-'Scenarios'!$C$59)</x:f>
        <x:v>3921.039482833856</x:v>
      </x:c>
      <x:c r="U70" s="114" t="n">
        <x:f>U28*'Scenarios'!$C$59+T28*(1-'Scenarios'!$C$59)</x:f>
        <x:v>4348.31254834884</x:v>
      </x:c>
      <x:c r="V70" s="114" t="n">
        <x:f>V28*'Scenarios'!$C$59+U28*(1-'Scenarios'!$C$59)</x:f>
        <x:v>4876.2016218983745</x:v>
      </x:c>
      <x:c r="W70" s="114" t="n">
        <x:f>W28*'Scenarios'!$C$59+V28*(1-'Scenarios'!$C$59)</x:f>
        <x:v>5125.099161491424</x:v>
      </x:c>
      <x:c r="X70" s="114" t="n">
        <x:f>X28*'Scenarios'!$C$59+W28*(1-'Scenarios'!$C$59)</x:f>
        <x:v>5318.130481646682</x:v>
      </x:c>
      <x:c r="Y70" s="114" t="n">
        <x:f>Y28*'Scenarios'!$C$59+X28*(1-'Scenarios'!$C$59)</x:f>
        <x:v>5505.370862197281</x:v>
      </x:c>
      <x:c r="Z70" s="114" t="n">
        <x:f>Z28*'Scenarios'!$C$59+Y28*(1-'Scenarios'!$C$59)</x:f>
        <x:v>5686.994031331362</x:v>
      </x:c>
      <x:c r="AA70" s="114" t="n">
        <x:f>AA28*'Scenarios'!$C$59+Z28*(1-'Scenarios'!$C$59)</x:f>
        <x:v>5997.808505391422</x:v>
      </x:c>
      <x:c r="AB70" s="114" t="n">
        <x:f>AB28*'Scenarios'!$C$59+AA28*(1-'Scenarios'!$C$59)</x:f>
        <x:v>6352.679345229679</x:v>
      </x:c>
      <x:c r="AC70" s="114" t="n">
        <x:f>AC28*'Scenarios'!$C$59+AB28*(1-'Scenarios'!$C$59)</x:f>
        <x:v>6573.066477872789</x:v>
      </x:c>
      <x:c r="AD70" s="114" t="n">
        <x:f>AD28*'Scenarios'!$C$59+AC28*(1-'Scenarios'!$C$59)</x:f>
        <x:v>6764.0658585366045</x:v>
      </x:c>
      <x:c r="AE70" s="114" t="n">
        <x:f>AE28*'Scenarios'!$C$59+AD28*(1-'Scenarios'!$C$59)</x:f>
        <x:v>6949.335257780506</x:v>
      </x:c>
      <x:c r="AF70" s="114" t="n">
        <x:f>AF28*'Scenarios'!$C$59+AE28*(1-'Scenarios'!$C$59)</x:f>
        <x:v>7129.046575047091</x:v>
      </x:c>
      <x:c r="AG70" s="114" t="n">
        <x:f>AG28*'Scenarios'!$C$59+AF28*(1-'Scenarios'!$C$59)</x:f>
        <x:v>7303.366552795677</x:v>
      </x:c>
      <x:c r="AH70" s="114" t="n">
        <x:f>AH28*'Scenarios'!$C$59+AG28*(1-'Scenarios'!$C$59)</x:f>
        <x:v>7472.4569312118065</x:v>
      </x:c>
      <x:c r="AI70" s="114" t="n">
        <x:f>AI28*'Scenarios'!$C$59+AH28*(1-'Scenarios'!$C$59)</x:f>
        <x:v>7636.474598275454</x:v>
      </x:c>
      <x:c r="AJ70" s="114" t="n">
        <x:f>AJ28*'Scenarios'!$C$59+AI28*(1-'Scenarios'!$C$59)</x:f>
        <x:v>7795.57173532719</x:v>
      </x:c>
      <x:c r="AK70" s="114" t="n">
        <x:f>AK28*'Scenarios'!$C$59+AJ28*(1-'Scenarios'!$C$59)</x:f>
        <x:v>7949.895958267375</x:v>
      </x:c>
      <x:c r="AL70" s="114" t="n">
        <x:f>AL28*'Scenarios'!$C$59+AK28*(1-'Scenarios'!$C$59)</x:f>
        <x:v>8099.590454519354</x:v>
      </x:c>
    </x:row>
    <x:row r="71">
      <x:c r="A71" s="84" t="str">
        <x:v>Cash disbursements</x:v>
      </x:c>
      <x:c r="B71" s="84" t="str">
        <x:v>$</x:v>
      </x:c>
      <x:c r="C71" s="114" t="n">
        <x:f>C49+C65</x:f>
        <x:v>6011.781</x:v>
      </x:c>
      <x:c r="D71" s="114" t="n">
        <x:f>D49+D65</x:f>
        <x:v>2025.80039</x:v>
      </x:c>
      <x:c r="E71" s="114" t="n">
        <x:f>E49+E65</x:f>
        <x:v>2034.056029875</x:v>
      </x:c>
      <x:c r="F71" s="114" t="n">
        <x:f>F49+F65</x:f>
        <x:v>2053.15200055375</x:v>
      </x:c>
      <x:c r="G71" s="114" t="n">
        <x:f>G49+G65</x:f>
        <x:v>2074.1144521121373</x:v>
      </x:c>
      <x:c r="H71" s="114" t="n">
        <x:f>H49+H65</x:f>
        <x:v>2089.4191657237734</x:v>
      </x:c>
      <x:c r="I71" s="114" t="n">
        <x:f>I49+I65</x:f>
        <x:v>2104.26473792706</x:v>
      </x:c>
      <x:c r="J71" s="114" t="n">
        <x:f>J49+J65</x:f>
        <x:v>2118.6649429642484</x:v>
      </x:c>
      <x:c r="K71" s="114" t="n">
        <x:f>K49+K65</x:f>
        <x:v>2132.633141850321</x:v>
      </x:c>
      <x:c r="L71" s="114" t="n">
        <x:f>L49+L65</x:f>
        <x:v>2146.182294769811</x:v>
      </x:c>
      <x:c r="M71" s="114" t="n">
        <x:f>M49+M65</x:f>
        <x:v>2159.3249731017168</x:v>
      </x:c>
      <x:c r="N71" s="114" t="n">
        <x:f>N49+N65</x:f>
        <x:v>2172.0733710836653</x:v>
      </x:c>
      <x:c r="O71" s="114" t="n">
        <x:f>O49+O65</x:f>
        <x:v>2196.2203171261554</x:v>
      </x:c>
      <x:c r="P71" s="114" t="n">
        <x:f>P49+P65</x:f>
        <x:v>2222.2346747873707</x:v>
      </x:c>
      <x:c r="Q71" s="114" t="n">
        <x:f>Q49+Q65</x:f>
        <x:v>2242.1254332937497</x:v>
      </x:c>
      <x:c r="R71" s="114" t="n">
        <x:f>R49+R65</x:f>
        <x:v>2261.419469044937</x:v>
      </x:c>
      <x:c r="S71" s="114" t="n">
        <x:f>S49+S65</x:f>
        <x:v>2280.134683723589</x:v>
      </x:c>
      <x:c r="T71" s="114" t="n">
        <x:f>T49+T65</x:f>
        <x:v>2298.2884419618813</x:v>
      </x:c>
      <x:c r="U71" s="114" t="n">
        <x:f>U49+U65</x:f>
        <x:v>2327.678587453025</x:v>
      </x:c>
      <x:c r="V71" s="114" t="n">
        <x:f>V49+V65</x:f>
        <x:v>2358.7788485794345</x:v>
      </x:c>
      <x:c r="W71" s="114" t="n">
        <x:f>W49+W65</x:f>
        <x:v>2383.6029334470513</x:v>
      </x:c>
      <x:c r="X71" s="114" t="n">
        <x:f>X49+X65</x:f>
        <x:v>2407.68229576864</x:v>
      </x:c>
      <x:c r="Y71" s="114" t="n">
        <x:f>Y49+Y65</x:f>
        <x:v>2431.0392772205805</x:v>
      </x:c>
      <x:c r="Z71" s="114" t="n">
        <x:f>Z49+Z65</x:f>
        <x:v>2453.695549228963</x:v>
      </x:c>
      <x:c r="AA71" s="114" t="n">
        <x:f>AA49+AA65</x:f>
        <x:v>2481.216133077094</x:v>
      </x:c>
      <x:c r="AB71" s="114" t="n">
        <x:f>AB49+AB65</x:f>
        <x:v>2509.1307794097816</x:v>
      </x:c>
      <x:c r="AC71" s="114" t="n">
        <x:f>AC49+AC65</x:f>
        <x:v>2533.693554152488</x:v>
      </x:c>
      <x:c r="AD71" s="114" t="n">
        <x:f>AD49+AD65</x:f>
        <x:v>2557.5194456529134</x:v>
      </x:c>
      <x:c r="AE71" s="114" t="n">
        <x:f>AE49+AE65</x:f>
        <x:v>2580.630560408326</x:v>
      </x:c>
      <x:c r="AF71" s="114" t="n">
        <x:f>AF49+AF65</x:f>
        <x:v>2603.048341721076</x:v>
      </x:c>
      <x:c r="AG71" s="114" t="n">
        <x:f>AG49+AG65</x:f>
        <x:v>2624.793589594444</x:v>
      </x:c>
      <x:c r="AH71" s="114" t="n">
        <x:f>AH49+AH65</x:f>
        <x:v>2645.8864800316105</x:v>
      </x:c>
      <x:c r="AI71" s="114" t="n">
        <x:f>AI49+AI65</x:f>
        <x:v>2666.3465837556623</x:v>
      </x:c>
      <x:c r="AJ71" s="114" t="n">
        <x:f>AJ49+AJ65</x:f>
        <x:v>2686.1928843679925</x:v>
      </x:c>
      <x:c r="AK71" s="114" t="n">
        <x:f>AK49+AK65</x:f>
        <x:v>2705.4437959619527</x:v>
      </x:c>
      <x:c r="AL71" s="114" t="n">
        <x:f>AL49+AL65</x:f>
        <x:v>2795.458769717271</x:v>
      </x:c>
    </x:row>
    <x:row r="72">
      <x:c r="A72" s="84" t="str">
        <x:v>Operating cash surplus / (deficit)</x:v>
      </x:c>
      <x:c r="B72" s="84" t="str">
        <x:v>$</x:v>
      </x:c>
      <x:c r="C72" s="114" t="n">
        <x:f>C70-C71</x:f>
        <x:v>-5725.671</x:v>
      </x:c>
      <x:c r="D72" s="114" t="n">
        <x:f>D70-D71</x:f>
        <x:v>-1348.7294900000002</x:v>
      </x:c>
      <x:c r="E72" s="114" t="n">
        <x:f>E70-E71</x:f>
        <x:v>-1240.9079186249999</x:v>
      </x:c>
      <x:c r="F72" s="114" t="n">
        <x:f>F70-F71</x:f>
        <x:v>-926.52828764125</x:v>
      </x:c>
      <x:c r="G72" s="114" t="n">
        <x:f>G70-G71</x:f>
        <x:v>-517.2578055870122</x:v>
      </x:c>
      <x:c r="H72" s="114" t="n">
        <x:f>H70-H71</x:f>
        <x:v>-362.91173759440244</x:v>
      </x:c>
      <x:c r="I72" s="114" t="n">
        <x:f>I70-I71</x:f>
        <x:v>-258.7483276415703</x:v>
      </x:c>
      <x:c r="J72" s="114" t="n">
        <x:f>J70-J71</x:f>
        <x:v>-157.70981998732327</x:v>
      </x:c>
      <x:c r="K72" s="114" t="n">
        <x:f>K70-K71</x:f>
        <x:v>-59.70246756270353</x:v>
      </x:c>
      <x:c r="L72" s="114" t="n">
        <x:f>L70-L71</x:f>
        <x:v>35.36466428917811</x:v>
      </x:c>
      <x:c r="M72" s="114" t="n">
        <x:f>M70-M71</x:f>
        <x:v>127.57978218550261</x:v>
      </x:c>
      <x:c r="N72" s="114" t="n">
        <x:f>N70-N71</x:f>
        <x:v>217.0284465449372</x:v>
      </x:c>
      <x:c r="O72" s="114" t="n">
        <x:f>O70-O71</x:f>
        <x:v>578.1226509735889</x:v>
      </x:c>
      <x:c r="P72" s="114" t="n">
        <x:f>P70-P71</x:f>
        <x:v>1039.2264092693808</x:v>
      </x:c>
      <x:c r="Q72" s="114" t="n">
        <x:f>Q70-Q71</x:f>
        <x:v>1228.6853614912998</x:v>
      </x:c>
      <x:c r="R72" s="114" t="n">
        <x:f>R70-R71</x:f>
        <x:v>1364.0612518965609</x:v>
      </x:c>
      <x:c r="S72" s="114" t="n">
        <x:f>S70-S71</x:f>
        <x:v>1495.375865589664</x:v>
      </x:c>
      <x:c r="T72" s="114" t="n">
        <x:f>T70-T71</x:f>
        <x:v>1622.7510408719745</x:v>
      </x:c>
      <x:c r="U72" s="114" t="n">
        <x:f>U70-U71</x:f>
        <x:v>2020.633960895815</x:v>
      </x:c>
      <x:c r="V72" s="114" t="n">
        <x:f>V70-V71</x:f>
        <x:v>2517.42277331894</x:v>
      </x:c>
      <x:c r="W72" s="114" t="n">
        <x:f>W70-W71</x:f>
        <x:v>2741.4962280443724</x:v>
      </x:c>
      <x:c r="X72" s="114" t="n">
        <x:f>X70-X71</x:f>
        <x:v>2910.448185878042</x:v>
      </x:c>
      <x:c r="Y72" s="114" t="n">
        <x:f>Y70-Y71</x:f>
        <x:v>3074.3315849767005</x:v>
      </x:c>
      <x:c r="Z72" s="114" t="n">
        <x:f>Z70-Z71</x:f>
        <x:v>3233.298482102399</x:v>
      </x:c>
      <x:c r="AA72" s="114" t="n">
        <x:f>AA70-AA71</x:f>
        <x:v>3516.592372314328</x:v>
      </x:c>
      <x:c r="AB72" s="114" t="n">
        <x:f>AB70-AB71</x:f>
        <x:v>3843.5485658198972</x:v>
      </x:c>
      <x:c r="AC72" s="114" t="n">
        <x:f>AC70-AC71</x:f>
        <x:v>4039.3729237203006</x:v>
      </x:c>
      <x:c r="AD72" s="114" t="n">
        <x:f>AD70-AD71</x:f>
        <x:v>4206.546412883691</x:v>
      </x:c>
      <x:c r="AE72" s="114" t="n">
        <x:f>AE70-AE71</x:f>
        <x:v>4368.704697372181</x:v>
      </x:c>
      <x:c r="AF72" s="114" t="n">
        <x:f>AF70-AF71</x:f>
        <x:v>4525.998233326015</x:v>
      </x:c>
      <x:c r="AG72" s="114" t="n">
        <x:f>AG70-AG71</x:f>
        <x:v>4678.5729632012335</x:v>
      </x:c>
      <x:c r="AH72" s="114" t="n">
        <x:f>AH70-AH71</x:f>
        <x:v>4826.570451180196</x:v>
      </x:c>
      <x:c r="AI72" s="114" t="n">
        <x:f>AI70-AI71</x:f>
        <x:v>4970.128014519792</x:v>
      </x:c>
      <x:c r="AJ72" s="114" t="n">
        <x:f>AJ70-AJ71</x:f>
        <x:v>5109.378850959198</x:v>
      </x:c>
      <x:c r="AK72" s="114" t="n">
        <x:f>AK70-AK71</x:f>
        <x:v>5244.4521623054225</x:v>
      </x:c>
      <x:c r="AL72" s="114" t="n">
        <x:f>AL70-AL71</x:f>
        <x:v>5304.131684802083</x:v>
      </x:c>
    </x:row>
    <x:row r="73">
      <x:c r="A73" s="84" t="str">
        <x:v>Sponsor capital contribution</x:v>
      </x:c>
      <x:c r="B73" s="84" t="str">
        <x:v>$</x:v>
      </x:c>
      <x:c r="C73" s="114" t="n">
        <x:f>IF(C6=1,'Scenarios'!$C$60,0)+IF(C6='Scenarios'!$C$62,'Scenarios'!$C$61,0)+IF(C6='Scenarios'!$C$64,'Scenarios'!$C$63,0)</x:f>
        <x:v>5000</x:v>
      </x:c>
      <x:c r="D73" s="114" t="n">
        <x:f>IF(D6=1,'Scenarios'!$C$60,0)+IF(D6='Scenarios'!$C$62,'Scenarios'!$C$61,0)+IF(D6='Scenarios'!$C$64,'Scenarios'!$C$63,0)</x:f>
        <x:v>0</x:v>
      </x:c>
      <x:c r="E73" s="114" t="n">
        <x:f>IF(E6=1,'Scenarios'!$C$60,0)+IF(E6='Scenarios'!$C$62,'Scenarios'!$C$61,0)+IF(E6='Scenarios'!$C$64,'Scenarios'!$C$63,0)</x:f>
        <x:v>0</x:v>
      </x:c>
      <x:c r="F73" s="114" t="n">
        <x:f>IF(F6=1,'Scenarios'!$C$60,0)+IF(F6='Scenarios'!$C$62,'Scenarios'!$C$61,0)+IF(F6='Scenarios'!$C$64,'Scenarios'!$C$63,0)</x:f>
        <x:v>0</x:v>
      </x:c>
      <x:c r="G73" s="114" t="n">
        <x:f>IF(G6=1,'Scenarios'!$C$60,0)+IF(G6='Scenarios'!$C$62,'Scenarios'!$C$61,0)+IF(G6='Scenarios'!$C$64,'Scenarios'!$C$63,0)</x:f>
        <x:v>0</x:v>
      </x:c>
      <x:c r="H73" s="114" t="n">
        <x:f>IF(H6=1,'Scenarios'!$C$60,0)+IF(H6='Scenarios'!$C$62,'Scenarios'!$C$61,0)+IF(H6='Scenarios'!$C$64,'Scenarios'!$C$63,0)</x:f>
        <x:v>0</x:v>
      </x:c>
      <x:c r="I73" s="114" t="n">
        <x:f>IF(I6=1,'Scenarios'!$C$60,0)+IF(I6='Scenarios'!$C$62,'Scenarios'!$C$61,0)+IF(I6='Scenarios'!$C$64,'Scenarios'!$C$63,0)</x:f>
        <x:v>0</x:v>
      </x:c>
      <x:c r="J73" s="114" t="n">
        <x:f>IF(J6=1,'Scenarios'!$C$60,0)+IF(J6='Scenarios'!$C$62,'Scenarios'!$C$61,0)+IF(J6='Scenarios'!$C$64,'Scenarios'!$C$63,0)</x:f>
        <x:v>0</x:v>
      </x:c>
      <x:c r="K73" s="114" t="n">
        <x:f>IF(K6=1,'Scenarios'!$C$60,0)+IF(K6='Scenarios'!$C$62,'Scenarios'!$C$61,0)+IF(K6='Scenarios'!$C$64,'Scenarios'!$C$63,0)</x:f>
        <x:v>0</x:v>
      </x:c>
      <x:c r="L73" s="114" t="n">
        <x:f>IF(L6=1,'Scenarios'!$C$60,0)+IF(L6='Scenarios'!$C$62,'Scenarios'!$C$61,0)+IF(L6='Scenarios'!$C$64,'Scenarios'!$C$63,0)</x:f>
        <x:v>0</x:v>
      </x:c>
      <x:c r="M73" s="114" t="n">
        <x:f>IF(M6=1,'Scenarios'!$C$60,0)+IF(M6='Scenarios'!$C$62,'Scenarios'!$C$61,0)+IF(M6='Scenarios'!$C$64,'Scenarios'!$C$63,0)</x:f>
        <x:v>0</x:v>
      </x:c>
      <x:c r="N73" s="114" t="n">
        <x:f>IF(N6=1,'Scenarios'!$C$60,0)+IF(N6='Scenarios'!$C$62,'Scenarios'!$C$61,0)+IF(N6='Scenarios'!$C$64,'Scenarios'!$C$63,0)</x:f>
        <x:v>0</x:v>
      </x:c>
      <x:c r="O73" s="114" t="n">
        <x:f>IF(O6=1,'Scenarios'!$C$60,0)+IF(O6='Scenarios'!$C$62,'Scenarios'!$C$61,0)+IF(O6='Scenarios'!$C$64,'Scenarios'!$C$63,0)</x:f>
        <x:v>0</x:v>
      </x:c>
      <x:c r="P73" s="114" t="n">
        <x:f>IF(P6=1,'Scenarios'!$C$60,0)+IF(P6='Scenarios'!$C$62,'Scenarios'!$C$61,0)+IF(P6='Scenarios'!$C$64,'Scenarios'!$C$63,0)</x:f>
        <x:v>0</x:v>
      </x:c>
      <x:c r="Q73" s="114" t="n">
        <x:f>IF(Q6=1,'Scenarios'!$C$60,0)+IF(Q6='Scenarios'!$C$62,'Scenarios'!$C$61,0)+IF(Q6='Scenarios'!$C$64,'Scenarios'!$C$63,0)</x:f>
        <x:v>0</x:v>
      </x:c>
      <x:c r="R73" s="114" t="n">
        <x:f>IF(R6=1,'Scenarios'!$C$60,0)+IF(R6='Scenarios'!$C$62,'Scenarios'!$C$61,0)+IF(R6='Scenarios'!$C$64,'Scenarios'!$C$63,0)</x:f>
        <x:v>0</x:v>
      </x:c>
      <x:c r="S73" s="114" t="n">
        <x:f>IF(S6=1,'Scenarios'!$C$60,0)+IF(S6='Scenarios'!$C$62,'Scenarios'!$C$61,0)+IF(S6='Scenarios'!$C$64,'Scenarios'!$C$63,0)</x:f>
        <x:v>0</x:v>
      </x:c>
      <x:c r="T73" s="114" t="n">
        <x:f>IF(T6=1,'Scenarios'!$C$60,0)+IF(T6='Scenarios'!$C$62,'Scenarios'!$C$61,0)+IF(T6='Scenarios'!$C$64,'Scenarios'!$C$63,0)</x:f>
        <x:v>0</x:v>
      </x:c>
      <x:c r="U73" s="114" t="n">
        <x:f>IF(U6=1,'Scenarios'!$C$60,0)+IF(U6='Scenarios'!$C$62,'Scenarios'!$C$61,0)+IF(U6='Scenarios'!$C$64,'Scenarios'!$C$63,0)</x:f>
        <x:v>0</x:v>
      </x:c>
      <x:c r="V73" s="114" t="n">
        <x:f>IF(V6=1,'Scenarios'!$C$60,0)+IF(V6='Scenarios'!$C$62,'Scenarios'!$C$61,0)+IF(V6='Scenarios'!$C$64,'Scenarios'!$C$63,0)</x:f>
        <x:v>0</x:v>
      </x:c>
      <x:c r="W73" s="114" t="n">
        <x:f>IF(W6=1,'Scenarios'!$C$60,0)+IF(W6='Scenarios'!$C$62,'Scenarios'!$C$61,0)+IF(W6='Scenarios'!$C$64,'Scenarios'!$C$63,0)</x:f>
        <x:v>0</x:v>
      </x:c>
      <x:c r="X73" s="114" t="n">
        <x:f>IF(X6=1,'Scenarios'!$C$60,0)+IF(X6='Scenarios'!$C$62,'Scenarios'!$C$61,0)+IF(X6='Scenarios'!$C$64,'Scenarios'!$C$63,0)</x:f>
        <x:v>0</x:v>
      </x:c>
      <x:c r="Y73" s="114" t="n">
        <x:f>IF(Y6=1,'Scenarios'!$C$60,0)+IF(Y6='Scenarios'!$C$62,'Scenarios'!$C$61,0)+IF(Y6='Scenarios'!$C$64,'Scenarios'!$C$63,0)</x:f>
        <x:v>0</x:v>
      </x:c>
      <x:c r="Z73" s="114" t="n">
        <x:f>IF(Z6=1,'Scenarios'!$C$60,0)+IF(Z6='Scenarios'!$C$62,'Scenarios'!$C$61,0)+IF(Z6='Scenarios'!$C$64,'Scenarios'!$C$63,0)</x:f>
        <x:v>0</x:v>
      </x:c>
      <x:c r="AA73" s="114" t="n">
        <x:f>IF(AA6=1,'Scenarios'!$C$60,0)+IF(AA6='Scenarios'!$C$62,'Scenarios'!$C$61,0)+IF(AA6='Scenarios'!$C$64,'Scenarios'!$C$63,0)</x:f>
        <x:v>0</x:v>
      </x:c>
      <x:c r="AB73" s="114" t="n">
        <x:f>IF(AB6=1,'Scenarios'!$C$60,0)+IF(AB6='Scenarios'!$C$62,'Scenarios'!$C$61,0)+IF(AB6='Scenarios'!$C$64,'Scenarios'!$C$63,0)</x:f>
        <x:v>0</x:v>
      </x:c>
      <x:c r="AC73" s="114" t="n">
        <x:f>IF(AC6=1,'Scenarios'!$C$60,0)+IF(AC6='Scenarios'!$C$62,'Scenarios'!$C$61,0)+IF(AC6='Scenarios'!$C$64,'Scenarios'!$C$63,0)</x:f>
        <x:v>0</x:v>
      </x:c>
      <x:c r="AD73" s="114" t="n">
        <x:f>IF(AD6=1,'Scenarios'!$C$60,0)+IF(AD6='Scenarios'!$C$62,'Scenarios'!$C$61,0)+IF(AD6='Scenarios'!$C$64,'Scenarios'!$C$63,0)</x:f>
        <x:v>0</x:v>
      </x:c>
      <x:c r="AE73" s="114" t="n">
        <x:f>IF(AE6=1,'Scenarios'!$C$60,0)+IF(AE6='Scenarios'!$C$62,'Scenarios'!$C$61,0)+IF(AE6='Scenarios'!$C$64,'Scenarios'!$C$63,0)</x:f>
        <x:v>0</x:v>
      </x:c>
      <x:c r="AF73" s="114" t="n">
        <x:f>IF(AF6=1,'Scenarios'!$C$60,0)+IF(AF6='Scenarios'!$C$62,'Scenarios'!$C$61,0)+IF(AF6='Scenarios'!$C$64,'Scenarios'!$C$63,0)</x:f>
        <x:v>0</x:v>
      </x:c>
      <x:c r="AG73" s="114" t="n">
        <x:f>IF(AG6=1,'Scenarios'!$C$60,0)+IF(AG6='Scenarios'!$C$62,'Scenarios'!$C$61,0)+IF(AG6='Scenarios'!$C$64,'Scenarios'!$C$63,0)</x:f>
        <x:v>0</x:v>
      </x:c>
      <x:c r="AH73" s="114" t="n">
        <x:f>IF(AH6=1,'Scenarios'!$C$60,0)+IF(AH6='Scenarios'!$C$62,'Scenarios'!$C$61,0)+IF(AH6='Scenarios'!$C$64,'Scenarios'!$C$63,0)</x:f>
        <x:v>0</x:v>
      </x:c>
      <x:c r="AI73" s="114" t="n">
        <x:f>IF(AI6=1,'Scenarios'!$C$60,0)+IF(AI6='Scenarios'!$C$62,'Scenarios'!$C$61,0)+IF(AI6='Scenarios'!$C$64,'Scenarios'!$C$63,0)</x:f>
        <x:v>0</x:v>
      </x:c>
      <x:c r="AJ73" s="114" t="n">
        <x:f>IF(AJ6=1,'Scenarios'!$C$60,0)+IF(AJ6='Scenarios'!$C$62,'Scenarios'!$C$61,0)+IF(AJ6='Scenarios'!$C$64,'Scenarios'!$C$63,0)</x:f>
        <x:v>0</x:v>
      </x:c>
      <x:c r="AK73" s="114" t="n">
        <x:f>IF(AK6=1,'Scenarios'!$C$60,0)+IF(AK6='Scenarios'!$C$62,'Scenarios'!$C$61,0)+IF(AK6='Scenarios'!$C$64,'Scenarios'!$C$63,0)</x:f>
        <x:v>0</x:v>
      </x:c>
      <x:c r="AL73" s="114" t="n">
        <x:f>IF(AL6=1,'Scenarios'!$C$60,0)+IF(AL6='Scenarios'!$C$62,'Scenarios'!$C$61,0)+IF(AL6='Scenarios'!$C$64,'Scenarios'!$C$63,0)</x:f>
        <x:v>0</x:v>
      </x:c>
    </x:row>
    <x:row r="74">
      <x:c r="A74" s="84" t="str">
        <x:v>Opening cash</x:v>
      </x:c>
      <x:c r="B74" s="84" t="str">
        <x:v>$</x:v>
      </x:c>
      <x:c r="C74" s="114" t="n">
        <x:f>0</x:f>
        <x:v>0</x:v>
      </x:c>
      <x:c r="D74" s="114" t="n">
        <x:f>C75</x:f>
        <x:v>-725.6710000000003</x:v>
      </x:c>
      <x:c r="E74" s="114" t="n">
        <x:f>D75</x:f>
        <x:v>-2074.4004900000004</x:v>
      </x:c>
      <x:c r="F74" s="114" t="n">
        <x:f>E75</x:f>
        <x:v>-3315.308408625</x:v>
      </x:c>
      <x:c r="G74" s="114" t="n">
        <x:f>F75</x:f>
        <x:v>-4241.836696266249</x:v>
      </x:c>
      <x:c r="H74" s="114" t="n">
        <x:f>G75</x:f>
        <x:v>-4759.094501853262</x:v>
      </x:c>
      <x:c r="I74" s="114" t="n">
        <x:f>H75</x:f>
        <x:v>-5122.0062394476645</x:v>
      </x:c>
      <x:c r="J74" s="114" t="n">
        <x:f>I75</x:f>
        <x:v>-5380.754567089235</x:v>
      </x:c>
      <x:c r="K74" s="114" t="n">
        <x:f>J75</x:f>
        <x:v>-5538.4643870765585</x:v>
      </x:c>
      <x:c r="L74" s="114" t="n">
        <x:f>K75</x:f>
        <x:v>-5598.166854639262</x:v>
      </x:c>
      <x:c r="M74" s="114" t="n">
        <x:f>L75</x:f>
        <x:v>-5562.802190350084</x:v>
      </x:c>
      <x:c r="N74" s="114" t="n">
        <x:f>M75</x:f>
        <x:v>-5435.222408164582</x:v>
      </x:c>
      <x:c r="O74" s="114" t="n">
        <x:f>N75</x:f>
        <x:v>-5218.193961619645</x:v>
      </x:c>
      <x:c r="P74" s="114" t="n">
        <x:f>O75</x:f>
        <x:v>-4640.071310646056</x:v>
      </x:c>
      <x:c r="Q74" s="114" t="n">
        <x:f>P75</x:f>
        <x:v>-3600.8449013766754</x:v>
      </x:c>
      <x:c r="R74" s="114" t="n">
        <x:f>Q75</x:f>
        <x:v>-2372.1595398853756</x:v>
      </x:c>
      <x:c r="S74" s="114" t="n">
        <x:f>R75</x:f>
        <x:v>-1008.0982879888147</x:v>
      </x:c>
      <x:c r="T74" s="114" t="n">
        <x:f>S75</x:f>
        <x:v>487.2775776008493</x:v>
      </x:c>
      <x:c r="U74" s="114" t="n">
        <x:f>T75</x:f>
        <x:v>2110.028618472824</x:v>
      </x:c>
      <x:c r="V74" s="114" t="n">
        <x:f>U75</x:f>
        <x:v>4130.662579368639</x:v>
      </x:c>
      <x:c r="W74" s="114" t="n">
        <x:f>V75</x:f>
        <x:v>6648.085352687579</x:v>
      </x:c>
      <x:c r="X74" s="114" t="n">
        <x:f>W75</x:f>
        <x:v>9389.581580731952</x:v>
      </x:c>
      <x:c r="Y74" s="114" t="n">
        <x:f>X75</x:f>
        <x:v>12300.029766609994</x:v>
      </x:c>
      <x:c r="Z74" s="114" t="n">
        <x:f>Y75</x:f>
        <x:v>15374.361351586693</x:v>
      </x:c>
      <x:c r="AA74" s="114" t="n">
        <x:f>Z75</x:f>
        <x:v>18607.65983368909</x:v>
      </x:c>
      <x:c r="AB74" s="114" t="n">
        <x:f>AA75</x:f>
        <x:v>22124.252206003417</x:v>
      </x:c>
      <x:c r="AC74" s="114" t="n">
        <x:f>AB75</x:f>
        <x:v>25967.800771823313</x:v>
      </x:c>
      <x:c r="AD74" s="114" t="n">
        <x:f>AC75</x:f>
        <x:v>30007.173695543614</x:v>
      </x:c>
      <x:c r="AE74" s="114" t="n">
        <x:f>AD75</x:f>
        <x:v>34213.720108427304</x:v>
      </x:c>
      <x:c r="AF74" s="114" t="n">
        <x:f>AE75</x:f>
        <x:v>38582.424805799485</x:v>
      </x:c>
      <x:c r="AG74" s="114" t="n">
        <x:f>AF75</x:f>
        <x:v>43108.4230391255</x:v>
      </x:c>
      <x:c r="AH74" s="114" t="n">
        <x:f>AG75</x:f>
        <x:v>47786.99600232673</x:v>
      </x:c>
      <x:c r="AI74" s="114" t="n">
        <x:f>AH75</x:f>
        <x:v>52613.56645350692</x:v>
      </x:c>
      <x:c r="AJ74" s="114" t="n">
        <x:f>AI75</x:f>
        <x:v>57583.69446802671</x:v>
      </x:c>
      <x:c r="AK74" s="114" t="n">
        <x:f>AJ75</x:f>
        <x:v>62693.07331898591</x:v>
      </x:c>
      <x:c r="AL74" s="114" t="n">
        <x:f>AK75</x:f>
        <x:v>67937.52548129133</x:v>
      </x:c>
    </x:row>
    <x:row r="75">
      <x:c r="A75" s="84" t="str">
        <x:v>Ending cash</x:v>
      </x:c>
      <x:c r="B75" s="84" t="str">
        <x:v>$</x:v>
      </x:c>
      <x:c r="C75" s="118" t="n">
        <x:f>C74+C70-C71+C73</x:f>
        <x:v>-725.6710000000003</x:v>
      </x:c>
      <x:c r="D75" s="118" t="n">
        <x:f>D74+D70-D71+D73</x:f>
        <x:v>-2074.4004900000004</x:v>
      </x:c>
      <x:c r="E75" s="118" t="n">
        <x:f>E74+E70-E71+E73</x:f>
        <x:v>-3315.308408625</x:v>
      </x:c>
      <x:c r="F75" s="118" t="n">
        <x:f>F74+F70-F71+F73</x:f>
        <x:v>-4241.836696266249</x:v>
      </x:c>
      <x:c r="G75" s="118" t="n">
        <x:f>G74+G70-G71+G73</x:f>
        <x:v>-4759.094501853262</x:v>
      </x:c>
      <x:c r="H75" s="118" t="n">
        <x:f>H74+H70-H71+H73</x:f>
        <x:v>-5122.0062394476645</x:v>
      </x:c>
      <x:c r="I75" s="118" t="n">
        <x:f>I74+I70-I71+I73</x:f>
        <x:v>-5380.754567089235</x:v>
      </x:c>
      <x:c r="J75" s="118" t="n">
        <x:f>J74+J70-J71+J73</x:f>
        <x:v>-5538.4643870765585</x:v>
      </x:c>
      <x:c r="K75" s="118" t="n">
        <x:f>K74+K70-K71+K73</x:f>
        <x:v>-5598.166854639262</x:v>
      </x:c>
      <x:c r="L75" s="118" t="n">
        <x:f>L74+L70-L71+L73</x:f>
        <x:v>-5562.802190350084</x:v>
      </x:c>
      <x:c r="M75" s="118" t="n">
        <x:f>M74+M70-M71+M73</x:f>
        <x:v>-5435.222408164582</x:v>
      </x:c>
      <x:c r="N75" s="118" t="n">
        <x:f>N74+N70-N71+N73</x:f>
        <x:v>-5218.193961619645</x:v>
      </x:c>
      <x:c r="O75" s="118" t="n">
        <x:f>O74+O70-O71+O73</x:f>
        <x:v>-4640.071310646056</x:v>
      </x:c>
      <x:c r="P75" s="118" t="n">
        <x:f>P74+P70-P71+P73</x:f>
        <x:v>-3600.8449013766754</x:v>
      </x:c>
      <x:c r="Q75" s="118" t="n">
        <x:f>Q74+Q70-Q71+Q73</x:f>
        <x:v>-2372.1595398853756</x:v>
      </x:c>
      <x:c r="R75" s="118" t="n">
        <x:f>R74+R70-R71+R73</x:f>
        <x:v>-1008.0982879888147</x:v>
      </x:c>
      <x:c r="S75" s="118" t="n">
        <x:f>S74+S70-S71+S73</x:f>
        <x:v>487.2775776008493</x:v>
      </x:c>
      <x:c r="T75" s="118" t="n">
        <x:f>T74+T70-T71+T73</x:f>
        <x:v>2110.028618472824</x:v>
      </x:c>
      <x:c r="U75" s="118" t="n">
        <x:f>U74+U70-U71+U73</x:f>
        <x:v>4130.662579368639</x:v>
      </x:c>
      <x:c r="V75" s="118" t="n">
        <x:f>V74+V70-V71+V73</x:f>
        <x:v>6648.085352687579</x:v>
      </x:c>
      <x:c r="W75" s="118" t="n">
        <x:f>W74+W70-W71+W73</x:f>
        <x:v>9389.581580731952</x:v>
      </x:c>
      <x:c r="X75" s="118" t="n">
        <x:f>X74+X70-X71+X73</x:f>
        <x:v>12300.029766609994</x:v>
      </x:c>
      <x:c r="Y75" s="118" t="n">
        <x:f>Y74+Y70-Y71+Y73</x:f>
        <x:v>15374.361351586693</x:v>
      </x:c>
      <x:c r="Z75" s="118" t="n">
        <x:f>Z74+Z70-Z71+Z73</x:f>
        <x:v>18607.65983368909</x:v>
      </x:c>
      <x:c r="AA75" s="118" t="n">
        <x:f>AA74+AA70-AA71+AA73</x:f>
        <x:v>22124.252206003417</x:v>
      </x:c>
      <x:c r="AB75" s="118" t="n">
        <x:f>AB74+AB70-AB71+AB73</x:f>
        <x:v>25967.800771823313</x:v>
      </x:c>
      <x:c r="AC75" s="118" t="n">
        <x:f>AC74+AC70-AC71+AC73</x:f>
        <x:v>30007.173695543614</x:v>
      </x:c>
      <x:c r="AD75" s="118" t="n">
        <x:f>AD74+AD70-AD71+AD73</x:f>
        <x:v>34213.720108427304</x:v>
      </x:c>
      <x:c r="AE75" s="118" t="n">
        <x:f>AE74+AE70-AE71+AE73</x:f>
        <x:v>38582.424805799485</x:v>
      </x:c>
      <x:c r="AF75" s="118" t="n">
        <x:f>AF74+AF70-AF71+AF73</x:f>
        <x:v>43108.4230391255</x:v>
      </x:c>
      <x:c r="AG75" s="118" t="n">
        <x:f>AG74+AG70-AG71+AG73</x:f>
        <x:v>47786.99600232673</x:v>
      </x:c>
      <x:c r="AH75" s="118" t="n">
        <x:f>AH74+AH70-AH71+AH73</x:f>
        <x:v>52613.56645350692</x:v>
      </x:c>
      <x:c r="AI75" s="118" t="n">
        <x:f>AI74+AI70-AI71+AI73</x:f>
        <x:v>57583.69446802671</x:v>
      </x:c>
      <x:c r="AJ75" s="118" t="n">
        <x:f>AJ74+AJ70-AJ71+AJ73</x:f>
        <x:v>62693.07331898591</x:v>
      </x:c>
      <x:c r="AK75" s="118" t="n">
        <x:f>AK74+AK70-AK71+AK73</x:f>
        <x:v>67937.52548129133</x:v>
      </x:c>
      <x:c r="AL75" s="118" t="n">
        <x:f>AL74+AL70-AL71+AL73</x:f>
        <x:v>73241.65716609341</x:v>
      </x:c>
    </x:row>
    <x:row r="76">
      <x:c r="A76" s="84" t="str">
        <x:v>Accounts receivable</x:v>
      </x:c>
      <x:c r="B76" s="84" t="str">
        <x:v>$</x:v>
      </x:c>
      <x:c r="C76" s="114" t="n">
        <x:f>C28*(1-'Scenarios'!$C$59)</x:f>
        <x:v>50.490000000000016</x:v>
      </x:c>
      <x:c r="D76" s="114" t="n">
        <x:f>D28*(1-'Scenarios'!$C$59)</x:f>
        <x:v>110.57310000000004</x:v>
      </x:c>
      <x:c r="E76" s="114" t="n">
        <x:f>E28*(1-'Scenarios'!$C$59)</x:f>
        <x:v>120.45441375000003</x:v>
      </x:c>
      <x:c r="F76" s="114" t="n">
        <x:f>F28*(1-'Scenarios'!$C$59)</x:f>
        <x:v>177.55928808750002</x:v>
      </x:c>
      <x:c r="G76" s="114" t="n">
        <x:f>G28*(1-'Scenarios'!$C$59)</x:f>
        <x:v>243.40541619487504</x:v>
      </x:c>
      <x:c r="H76" s="114" t="n">
        <x:f>H28*(1-'Scenarios'!$C$59)</x:f>
        <x:v>261.72388445902874</x:v>
      </x:c>
      <x:c r="I76" s="114" t="n">
        <x:f>I28*(1-'Scenarios'!$C$59)</x:f>
        <x:v>279.4927986752579</x:v>
      </x:c>
      <x:c r="J76" s="114" t="n">
        <x:f>J28*(1-'Scenarios'!$C$59)</x:f>
        <x:v>296.72864546500017</x:v>
      </x:c>
      <x:c r="K76" s="114" t="n">
        <x:f>K28*(1-'Scenarios'!$C$59)</x:f>
        <x:v>313.44741685105015</x:v>
      </x:c>
      <x:c r="L76" s="114" t="n">
        <x:f>L28*(1-'Scenarios'!$C$59)</x:f>
        <x:v>329.6646250955187</x:v>
      </x:c>
      <x:c r="M76" s="114" t="n">
        <x:f>M28*(1-'Scenarios'!$C$59)</x:f>
        <x:v>345.3953170926531</x:v>
      </x:c>
      <x:c r="N76" s="114" t="n">
        <x:f>N28*(1-'Scenarios'!$C$59)</x:f>
        <x:v>360.6540883298735</x:v>
      </x:c>
      <x:c r="O76" s="114" t="n">
        <x:f>O28*(1-'Scenarios'!$C$59)</x:f>
        <x:v>425.94509642997724</x:v>
      </x:c>
      <x:c r="P76" s="114" t="n">
        <x:f>P28*(1-'Scenarios'!$C$59)</x:f>
        <x:v>500.3851742870779</x:v>
      </x:c>
      <x:c r="Q76" s="114" t="n">
        <x:f>Q28*(1-'Scenarios'!$C$59)</x:f>
        <x:v>524.1927565584656</x:v>
      </x:c>
      <x:c r="R76" s="114" t="n">
        <x:f>R28*(1-'Scenarios'!$C$59)</x:f>
        <x:v>547.2861113617117</x:v>
      </x:c>
      <x:c r="S76" s="114" t="n">
        <x:f>S28*(1-'Scenarios'!$C$59)</x:f>
        <x:v>569.6866655208604</x:v>
      </x:c>
      <x:c r="T76" s="114" t="n">
        <x:f>T28*(1-'Scenarios'!$C$59)</x:f>
        <x:v>591.4152030552345</x:v>
      </x:c>
      <x:c r="U76" s="114" t="n">
        <x:f>U28*(1-'Scenarios'!$C$59)</x:f>
        <x:v>662.9818844635774</x:v>
      </x:c>
      <x:c r="V76" s="114" t="n">
        <x:f>V28*(1-'Scenarios'!$C$59)</x:f>
        <x:v>743.5093654296703</x:v>
      </x:c>
      <x:c r="W76" s="114" t="n">
        <x:f>W28*(1-'Scenarios'!$C$59)</x:f>
        <x:v>773.2217287167801</x:v>
      </x:c>
      <x:c r="X76" s="114" t="n">
        <x:f>X28*(1-'Scenarios'!$C$59)</x:f>
        <x:v>802.0427211052768</x:v>
      </x:c>
      <x:c r="Y76" s="114" t="n">
        <x:f>Y28*(1-'Scenarios'!$C$59)</x:f>
        <x:v>829.9990837221186</x:v>
      </x:c>
      <x:c r="Z76" s="114" t="n">
        <x:f>Z28*(1-'Scenarios'!$C$59)</x:f>
        <x:v>857.1167554604549</x:v>
      </x:c>
      <x:c r="AA76" s="114" t="n">
        <x:f>AA28*(1-'Scenarios'!$C$59)</x:f>
        <x:v>907.1808970466412</x:v>
      </x:c>
      <x:c r="AB76" s="114" t="n">
        <x:f>AB28*(1-'Scenarios'!$C$59)</x:f>
        <x:v>960.9703143852421</x:v>
      </x:c>
      <x:c r="AC76" s="114" t="n">
        <x:f>AC28*(1-'Scenarios'!$C$59)</x:f>
        <x:v>990.3699112036849</x:v>
      </x:c>
      <x:c r="AD76" s="114" t="n">
        <x:f>AD28*(1-'Scenarios'!$C$59)</x:f>
        <x:v>1018.8875201175742</x:v>
      </x:c>
      <x:c r="AE76" s="114" t="n">
        <x:f>AE28*(1-'Scenarios'!$C$59)</x:f>
        <x:v>1046.549600764047</x:v>
      </x:c>
      <x:c r="AF76" s="114" t="n">
        <x:f>AF28*(1-'Scenarios'!$C$59)</x:f>
        <x:v>1073.3818189911256</x:v>
      </x:c>
      <x:c r="AG76" s="114" t="n">
        <x:f>AG28*(1-'Scenarios'!$C$59)</x:f>
        <x:v>1099.4090706713916</x:v>
      </x:c>
      <x:c r="AH76" s="114" t="n">
        <x:f>AH28*(1-'Scenarios'!$C$59)</x:f>
        <x:v>1124.65550480125</x:v>
      </x:c>
      <x:c r="AI76" s="114" t="n">
        <x:f>AI28*(1-'Scenarios'!$C$59)</x:f>
        <x:v>1149.1445459072127</x:v>
      </x:c>
      <x:c r="AJ76" s="114" t="n">
        <x:f>AJ28*(1-'Scenarios'!$C$59)</x:f>
        <x:v>1172.8989157799963</x:v>
      </x:c>
      <x:c r="AK76" s="114" t="n">
        <x:f>AK28*(1-'Scenarios'!$C$59)</x:f>
        <x:v>1195.9406545565964</x:v>
      </x:c>
      <x:c r="AL76" s="114" t="n">
        <x:f>AL28*(1-'Scenarios'!$C$59)</x:f>
        <x:v>1218.2911411698988</x:v>
      </x:c>
    </x:row>
    <x:row r="77">
      <x:c r="A77" s="84" t="str">
        <x:v>Cumulative sponsor capital</x:v>
      </x:c>
      <x:c r="B77" s="84" t="str">
        <x:v>$</x:v>
      </x:c>
      <x:c r="C77" s="114" t="n">
        <x:f>C73</x:f>
        <x:v>5000</x:v>
      </x:c>
      <x:c r="D77" s="114" t="n">
        <x:f>C77+D73</x:f>
        <x:v>5000</x:v>
      </x:c>
      <x:c r="E77" s="114" t="n">
        <x:f>D77+E73</x:f>
        <x:v>5000</x:v>
      </x:c>
      <x:c r="F77" s="114" t="n">
        <x:f>E77+F73</x:f>
        <x:v>5000</x:v>
      </x:c>
      <x:c r="G77" s="114" t="n">
        <x:f>F77+G73</x:f>
        <x:v>5000</x:v>
      </x:c>
      <x:c r="H77" s="114" t="n">
        <x:f>G77+H73</x:f>
        <x:v>5000</x:v>
      </x:c>
      <x:c r="I77" s="114" t="n">
        <x:f>H77+I73</x:f>
        <x:v>5000</x:v>
      </x:c>
      <x:c r="J77" s="114" t="n">
        <x:f>I77+J73</x:f>
        <x:v>5000</x:v>
      </x:c>
      <x:c r="K77" s="114" t="n">
        <x:f>J77+K73</x:f>
        <x:v>5000</x:v>
      </x:c>
      <x:c r="L77" s="114" t="n">
        <x:f>K77+L73</x:f>
        <x:v>5000</x:v>
      </x:c>
      <x:c r="M77" s="114" t="n">
        <x:f>L77+M73</x:f>
        <x:v>5000</x:v>
      </x:c>
      <x:c r="N77" s="114" t="n">
        <x:f>M77+N73</x:f>
        <x:v>5000</x:v>
      </x:c>
      <x:c r="O77" s="114" t="n">
        <x:f>N77+O73</x:f>
        <x:v>5000</x:v>
      </x:c>
      <x:c r="P77" s="114" t="n">
        <x:f>O77+P73</x:f>
        <x:v>5000</x:v>
      </x:c>
      <x:c r="Q77" s="114" t="n">
        <x:f>P77+Q73</x:f>
        <x:v>5000</x:v>
      </x:c>
      <x:c r="R77" s="114" t="n">
        <x:f>Q77+R73</x:f>
        <x:v>5000</x:v>
      </x:c>
      <x:c r="S77" s="114" t="n">
        <x:f>R77+S73</x:f>
        <x:v>5000</x:v>
      </x:c>
      <x:c r="T77" s="114" t="n">
        <x:f>S77+T73</x:f>
        <x:v>5000</x:v>
      </x:c>
      <x:c r="U77" s="114" t="n">
        <x:f>T77+U73</x:f>
        <x:v>5000</x:v>
      </x:c>
      <x:c r="V77" s="114" t="n">
        <x:f>U77+V73</x:f>
        <x:v>5000</x:v>
      </x:c>
      <x:c r="W77" s="114" t="n">
        <x:f>V77+W73</x:f>
        <x:v>5000</x:v>
      </x:c>
      <x:c r="X77" s="114" t="n">
        <x:f>W77+X73</x:f>
        <x:v>5000</x:v>
      </x:c>
      <x:c r="Y77" s="114" t="n">
        <x:f>X77+Y73</x:f>
        <x:v>5000</x:v>
      </x:c>
      <x:c r="Z77" s="114" t="n">
        <x:f>Y77+Z73</x:f>
        <x:v>5000</x:v>
      </x:c>
      <x:c r="AA77" s="114" t="n">
        <x:f>Z77+AA73</x:f>
        <x:v>5000</x:v>
      </x:c>
      <x:c r="AB77" s="114" t="n">
        <x:f>AA77+AB73</x:f>
        <x:v>5000</x:v>
      </x:c>
      <x:c r="AC77" s="114" t="n">
        <x:f>AB77+AC73</x:f>
        <x:v>5000</x:v>
      </x:c>
      <x:c r="AD77" s="114" t="n">
        <x:f>AC77+AD73</x:f>
        <x:v>5000</x:v>
      </x:c>
      <x:c r="AE77" s="114" t="n">
        <x:f>AD77+AE73</x:f>
        <x:v>5000</x:v>
      </x:c>
      <x:c r="AF77" s="114" t="n">
        <x:f>AE77+AF73</x:f>
        <x:v>5000</x:v>
      </x:c>
      <x:c r="AG77" s="114" t="n">
        <x:f>AF77+AG73</x:f>
        <x:v>5000</x:v>
      </x:c>
      <x:c r="AH77" s="114" t="n">
        <x:f>AG77+AH73</x:f>
        <x:v>5000</x:v>
      </x:c>
      <x:c r="AI77" s="114" t="n">
        <x:f>AH77+AI73</x:f>
        <x:v>5000</x:v>
      </x:c>
      <x:c r="AJ77" s="114" t="n">
        <x:f>AI77+AJ73</x:f>
        <x:v>5000</x:v>
      </x:c>
      <x:c r="AK77" s="114" t="n">
        <x:f>AJ77+AK73</x:f>
        <x:v>5000</x:v>
      </x:c>
      <x:c r="AL77" s="114" t="n">
        <x:f>AK77+AL73</x:f>
        <x:v>5000</x:v>
      </x:c>
    </x:row>
    <x:row r="78">
      <x:c r="A78" s="63" t="str">
        <x:v>MODEL CHECKS</x:v>
      </x:c>
      <x:c r="B78" s="63" t="str"/>
      <x:c r="C78" s="112"/>
      <x:c r="D78" s="112"/>
      <x:c r="E78" s="112"/>
      <x:c r="F78" s="112"/>
      <x:c r="G78" s="112"/>
      <x:c r="H78" s="112"/>
      <x:c r="I78" s="112"/>
      <x:c r="J78" s="112"/>
      <x:c r="K78" s="112"/>
      <x:c r="L78" s="112"/>
      <x:c r="M78" s="112"/>
      <x:c r="N78" s="112"/>
      <x:c r="O78" s="112"/>
      <x:c r="P78" s="112"/>
      <x:c r="Q78" s="112"/>
      <x:c r="R78" s="112"/>
      <x:c r="S78" s="112"/>
      <x:c r="T78" s="112"/>
      <x:c r="U78" s="112"/>
      <x:c r="V78" s="112"/>
      <x:c r="W78" s="112"/>
      <x:c r="X78" s="112"/>
      <x:c r="Y78" s="112"/>
      <x:c r="Z78" s="112"/>
      <x:c r="AA78" s="112"/>
      <x:c r="AB78" s="112"/>
      <x:c r="AC78" s="112"/>
      <x:c r="AD78" s="112"/>
      <x:c r="AE78" s="112"/>
      <x:c r="AF78" s="112"/>
      <x:c r="AG78" s="112"/>
      <x:c r="AH78" s="112"/>
      <x:c r="AI78" s="112"/>
      <x:c r="AJ78" s="112"/>
      <x:c r="AK78" s="112"/>
      <x:c r="AL78" s="112"/>
    </x:row>
    <x:row r="79">
      <x:c r="A79" s="84" t="str">
        <x:v>Active-account roll-forward check</x:v>
      </x:c>
      <x:c r="B79" s="84" t="str">
        <x:v>check</x:v>
      </x:c>
      <x:c r="C79" s="113" t="n">
        <x:f>C13-C11</x:f>
        <x:v>0</x:v>
      </x:c>
      <x:c r="D79" s="113" t="n">
        <x:f>D13-(C13-D12+D11)</x:f>
        <x:v>0</x:v>
      </x:c>
      <x:c r="E79" s="113" t="n">
        <x:f>E13-(D13-E12+E11)</x:f>
        <x:v>0</x:v>
      </x:c>
      <x:c r="F79" s="113" t="n">
        <x:f>F13-(E13-F12+F11)</x:f>
        <x:v>0</x:v>
      </x:c>
      <x:c r="G79" s="113" t="n">
        <x:f>G13-(F13-G12+G11)</x:f>
        <x:v>0</x:v>
      </x:c>
      <x:c r="H79" s="113" t="n">
        <x:f>H13-(G13-H12+H11)</x:f>
        <x:v>0</x:v>
      </x:c>
      <x:c r="I79" s="113" t="n">
        <x:f>I13-(H13-I12+I11)</x:f>
        <x:v>0</x:v>
      </x:c>
      <x:c r="J79" s="113" t="n">
        <x:f>J13-(I13-J12+J11)</x:f>
        <x:v>0</x:v>
      </x:c>
      <x:c r="K79" s="113" t="n">
        <x:f>K13-(J13-K12+K11)</x:f>
        <x:v>0</x:v>
      </x:c>
      <x:c r="L79" s="113" t="n">
        <x:f>L13-(K13-L12+L11)</x:f>
        <x:v>0</x:v>
      </x:c>
      <x:c r="M79" s="113" t="n">
        <x:f>M13-(L13-M12+M11)</x:f>
        <x:v>0</x:v>
      </x:c>
      <x:c r="N79" s="113" t="n">
        <x:f>N13-(M13-N12+N11)</x:f>
        <x:v>0</x:v>
      </x:c>
      <x:c r="O79" s="113" t="n">
        <x:f>O13-(N13-O12+O11)</x:f>
        <x:v>0</x:v>
      </x:c>
      <x:c r="P79" s="113" t="n">
        <x:f>P13-(O13-P12+P11)</x:f>
        <x:v>0</x:v>
      </x:c>
      <x:c r="Q79" s="113" t="n">
        <x:f>Q13-(P13-Q12+Q11)</x:f>
        <x:v>0</x:v>
      </x:c>
      <x:c r="R79" s="113" t="n">
        <x:f>R13-(Q13-R12+R11)</x:f>
        <x:v>0</x:v>
      </x:c>
      <x:c r="S79" s="113" t="n">
        <x:f>S13-(R13-S12+S11)</x:f>
        <x:v>0</x:v>
      </x:c>
      <x:c r="T79" s="113" t="n">
        <x:f>T13-(S13-T12+T11)</x:f>
        <x:v>0</x:v>
      </x:c>
      <x:c r="U79" s="113" t="n">
        <x:f>U13-(T13-U12+U11)</x:f>
        <x:v>0</x:v>
      </x:c>
      <x:c r="V79" s="113" t="n">
        <x:f>V13-(U13-V12+V11)</x:f>
        <x:v>0</x:v>
      </x:c>
      <x:c r="W79" s="113" t="n">
        <x:f>W13-(V13-W12+W11)</x:f>
        <x:v>0</x:v>
      </x:c>
      <x:c r="X79" s="113" t="n">
        <x:f>X13-(W13-X12+X11)</x:f>
        <x:v>0</x:v>
      </x:c>
      <x:c r="Y79" s="113" t="n">
        <x:f>Y13-(X13-Y12+Y11)</x:f>
        <x:v>0</x:v>
      </x:c>
      <x:c r="Z79" s="113" t="n">
        <x:f>Z13-(Y13-Z12+Z11)</x:f>
        <x:v>0</x:v>
      </x:c>
      <x:c r="AA79" s="113" t="n">
        <x:f>AA13-(Z13-AA12+AA11)</x:f>
        <x:v>0</x:v>
      </x:c>
      <x:c r="AB79" s="113" t="n">
        <x:f>AB13-(AA13-AB12+AB11)</x:f>
        <x:v>0</x:v>
      </x:c>
      <x:c r="AC79" s="113" t="n">
        <x:f>AC13-(AB13-AC12+AC11)</x:f>
        <x:v>0</x:v>
      </x:c>
      <x:c r="AD79" s="113" t="n">
        <x:f>AD13-(AC13-AD12+AD11)</x:f>
        <x:v>0</x:v>
      </x:c>
      <x:c r="AE79" s="113" t="n">
        <x:f>AE13-(AD13-AE12+AE11)</x:f>
        <x:v>0</x:v>
      </x:c>
      <x:c r="AF79" s="113" t="n">
        <x:f>AF13-(AE13-AF12+AF11)</x:f>
        <x:v>0</x:v>
      </x:c>
      <x:c r="AG79" s="113" t="n">
        <x:f>AG13-(AF13-AG12+AG11)</x:f>
        <x:v>0</x:v>
      </x:c>
      <x:c r="AH79" s="113" t="n">
        <x:f>AH13-(AG13-AH12+AH11)</x:f>
        <x:v>0</x:v>
      </x:c>
      <x:c r="AI79" s="113" t="n">
        <x:f>AI13-(AH13-AI12+AI11)</x:f>
        <x:v>0</x:v>
      </x:c>
      <x:c r="AJ79" s="113" t="n">
        <x:f>AJ13-(AI13-AJ12+AJ11)</x:f>
        <x:v>0</x:v>
      </x:c>
      <x:c r="AK79" s="113" t="n">
        <x:f>AK13-(AJ13-AK12+AK11)</x:f>
        <x:v>0</x:v>
      </x:c>
      <x:c r="AL79" s="113" t="n">
        <x:f>AL13-(AK13-AL12+AL11)</x:f>
        <x:v>0</x:v>
      </x:c>
    </x:row>
    <x:row r="80">
      <x:c r="A80" s="84" t="str">
        <x:v>Revenue tie check</x:v>
      </x:c>
      <x:c r="B80" s="84" t="str">
        <x:v>check</x:v>
      </x:c>
      <x:c r="C80" s="113" t="n">
        <x:f>C28-SUM(C20:C26)</x:f>
        <x:v>0</x:v>
      </x:c>
      <x:c r="D80" s="113" t="n">
        <x:f>D28-SUM(D20:D26)</x:f>
        <x:v>0</x:v>
      </x:c>
      <x:c r="E80" s="113" t="n">
        <x:f>E28-SUM(E20:E26)</x:f>
        <x:v>0</x:v>
      </x:c>
      <x:c r="F80" s="113" t="n">
        <x:f>F28-SUM(F20:F26)</x:f>
        <x:v>0</x:v>
      </x:c>
      <x:c r="G80" s="113" t="n">
        <x:f>G28-SUM(G20:G26)</x:f>
        <x:v>0</x:v>
      </x:c>
      <x:c r="H80" s="113" t="n">
        <x:f>H28-SUM(H20:H26)</x:f>
        <x:v>0</x:v>
      </x:c>
      <x:c r="I80" s="113" t="n">
        <x:f>I28-SUM(I20:I26)</x:f>
        <x:v>0</x:v>
      </x:c>
      <x:c r="J80" s="113" t="n">
        <x:f>J28-SUM(J20:J26)</x:f>
        <x:v>0</x:v>
      </x:c>
      <x:c r="K80" s="113" t="n">
        <x:f>K28-SUM(K20:K26)</x:f>
        <x:v>0</x:v>
      </x:c>
      <x:c r="L80" s="113" t="n">
        <x:f>L28-SUM(L20:L26)</x:f>
        <x:v>0</x:v>
      </x:c>
      <x:c r="M80" s="113" t="n">
        <x:f>M28-SUM(M20:M26)</x:f>
        <x:v>0</x:v>
      </x:c>
      <x:c r="N80" s="113" t="n">
        <x:f>N28-SUM(N20:N26)</x:f>
        <x:v>0</x:v>
      </x:c>
      <x:c r="O80" s="113" t="n">
        <x:f>O28-SUM(O20:O26)</x:f>
        <x:v>0</x:v>
      </x:c>
      <x:c r="P80" s="113" t="n">
        <x:f>P28-SUM(P20:P26)</x:f>
        <x:v>0</x:v>
      </x:c>
      <x:c r="Q80" s="113" t="n">
        <x:f>Q28-SUM(Q20:Q26)</x:f>
        <x:v>0</x:v>
      </x:c>
      <x:c r="R80" s="113" t="n">
        <x:f>R28-SUM(R20:R26)</x:f>
        <x:v>0</x:v>
      </x:c>
      <x:c r="S80" s="113" t="n">
        <x:f>S28-SUM(S20:S26)</x:f>
        <x:v>0</x:v>
      </x:c>
      <x:c r="T80" s="113" t="n">
        <x:f>T28-SUM(T20:T26)</x:f>
        <x:v>0</x:v>
      </x:c>
      <x:c r="U80" s="113" t="n">
        <x:f>U28-SUM(U20:U26)</x:f>
        <x:v>0</x:v>
      </x:c>
      <x:c r="V80" s="113" t="n">
        <x:f>V28-SUM(V20:V26)</x:f>
        <x:v>0</x:v>
      </x:c>
      <x:c r="W80" s="113" t="n">
        <x:f>W28-SUM(W20:W26)</x:f>
        <x:v>0</x:v>
      </x:c>
      <x:c r="X80" s="113" t="n">
        <x:f>X28-SUM(X20:X26)</x:f>
        <x:v>0</x:v>
      </x:c>
      <x:c r="Y80" s="113" t="n">
        <x:f>Y28-SUM(Y20:Y26)</x:f>
        <x:v>0</x:v>
      </x:c>
      <x:c r="Z80" s="113" t="n">
        <x:f>Z28-SUM(Z20:Z26)</x:f>
        <x:v>0</x:v>
      </x:c>
      <x:c r="AA80" s="113" t="n">
        <x:f>AA28-SUM(AA20:AA26)</x:f>
        <x:v>0</x:v>
      </x:c>
      <x:c r="AB80" s="113" t="n">
        <x:f>AB28-SUM(AB20:AB26)</x:f>
        <x:v>0</x:v>
      </x:c>
      <x:c r="AC80" s="113" t="n">
        <x:f>AC28-SUM(AC20:AC26)</x:f>
        <x:v>0</x:v>
      </x:c>
      <x:c r="AD80" s="113" t="n">
        <x:f>AD28-SUM(AD20:AD26)</x:f>
        <x:v>0</x:v>
      </x:c>
      <x:c r="AE80" s="113" t="n">
        <x:f>AE28-SUM(AE20:AE26)</x:f>
        <x:v>0</x:v>
      </x:c>
      <x:c r="AF80" s="113" t="n">
        <x:f>AF28-SUM(AF20:AF26)</x:f>
        <x:v>0</x:v>
      </x:c>
      <x:c r="AG80" s="113" t="n">
        <x:f>AG28-SUM(AG20:AG26)</x:f>
        <x:v>0</x:v>
      </x:c>
      <x:c r="AH80" s="113" t="n">
        <x:f>AH28-SUM(AH20:AH26)</x:f>
        <x:v>0</x:v>
      </x:c>
      <x:c r="AI80" s="113" t="n">
        <x:f>AI28-SUM(AI20:AI26)</x:f>
        <x:v>0</x:v>
      </x:c>
      <x:c r="AJ80" s="113" t="n">
        <x:f>AJ28-SUM(AJ20:AJ26)</x:f>
        <x:v>0</x:v>
      </x:c>
      <x:c r="AK80" s="113" t="n">
        <x:f>AK28-SUM(AK20:AK26)</x:f>
        <x:v>0</x:v>
      </x:c>
      <x:c r="AL80" s="113" t="n">
        <x:f>AL28-SUM(AL20:AL26)</x:f>
        <x:v>0</x:v>
      </x:c>
    </x:row>
    <x:row r="81">
      <x:c r="A81" s="84" t="str">
        <x:v>Capacity allocation check</x:v>
      </x:c>
      <x:c r="B81" s="84" t="str">
        <x:v>check</x:v>
      </x:c>
      <x:c r="C81" s="113" t="n">
        <x:f>C37-SUM(C39,C41,C42)</x:f>
        <x:v>0</x:v>
      </x:c>
      <x:c r="D81" s="113" t="n">
        <x:f>D37-SUM(D39,D41,D42)</x:f>
        <x:v>0</x:v>
      </x:c>
      <x:c r="E81" s="113" t="n">
        <x:f>E37-SUM(E39,E41,E42)</x:f>
        <x:v>0</x:v>
      </x:c>
      <x:c r="F81" s="113" t="n">
        <x:f>F37-SUM(F39,F41,F42)</x:f>
        <x:v>0</x:v>
      </x:c>
      <x:c r="G81" s="113" t="n">
        <x:f>G37-SUM(G39,G41,G42)</x:f>
        <x:v>0</x:v>
      </x:c>
      <x:c r="H81" s="113" t="n">
        <x:f>H37-SUM(H39,H41,H42)</x:f>
        <x:v>0</x:v>
      </x:c>
      <x:c r="I81" s="113" t="n">
        <x:f>I37-SUM(I39,I41,I42)</x:f>
        <x:v>0</x:v>
      </x:c>
      <x:c r="J81" s="113" t="n">
        <x:f>J37-SUM(J39,J41,J42)</x:f>
        <x:v>0</x:v>
      </x:c>
      <x:c r="K81" s="113" t="n">
        <x:f>K37-SUM(K39,K41,K42)</x:f>
        <x:v>0</x:v>
      </x:c>
      <x:c r="L81" s="113" t="n">
        <x:f>L37-SUM(L39,L41,L42)</x:f>
        <x:v>0</x:v>
      </x:c>
      <x:c r="M81" s="113" t="n">
        <x:f>M37-SUM(M39,M41,M42)</x:f>
        <x:v>0</x:v>
      </x:c>
      <x:c r="N81" s="113" t="n">
        <x:f>N37-SUM(N39,N41,N42)</x:f>
        <x:v>0</x:v>
      </x:c>
      <x:c r="O81" s="113" t="n">
        <x:f>O37-SUM(O39,O41,O42)</x:f>
        <x:v>0</x:v>
      </x:c>
      <x:c r="P81" s="113" t="n">
        <x:f>P37-SUM(P39,P41,P42)</x:f>
        <x:v>0</x:v>
      </x:c>
      <x:c r="Q81" s="113" t="n">
        <x:f>Q37-SUM(Q39,Q41,Q42)</x:f>
        <x:v>0</x:v>
      </x:c>
      <x:c r="R81" s="113" t="n">
        <x:f>R37-SUM(R39,R41,R42)</x:f>
        <x:v>0</x:v>
      </x:c>
      <x:c r="S81" s="113" t="n">
        <x:f>S37-SUM(S39,S41,S42)</x:f>
        <x:v>0</x:v>
      </x:c>
      <x:c r="T81" s="113" t="n">
        <x:f>T37-SUM(T39,T41,T42)</x:f>
        <x:v>0</x:v>
      </x:c>
      <x:c r="U81" s="113" t="n">
        <x:f>U37-SUM(U39,U41,U42)</x:f>
        <x:v>0</x:v>
      </x:c>
      <x:c r="V81" s="113" t="n">
        <x:f>V37-SUM(V39,V41,V42)</x:f>
        <x:v>0</x:v>
      </x:c>
      <x:c r="W81" s="113" t="n">
        <x:f>W37-SUM(W39,W41,W42)</x:f>
        <x:v>0</x:v>
      </x:c>
      <x:c r="X81" s="113" t="n">
        <x:f>X37-SUM(X39,X41,X42)</x:f>
        <x:v>0</x:v>
      </x:c>
      <x:c r="Y81" s="113" t="n">
        <x:f>Y37-SUM(Y39,Y41,Y42)</x:f>
        <x:v>0</x:v>
      </x:c>
      <x:c r="Z81" s="113" t="n">
        <x:f>Z37-SUM(Z39,Z41,Z42)</x:f>
        <x:v>0</x:v>
      </x:c>
      <x:c r="AA81" s="113" t="n">
        <x:f>AA37-SUM(AA39,AA41,AA42)</x:f>
        <x:v>0</x:v>
      </x:c>
      <x:c r="AB81" s="113" t="n">
        <x:f>AB37-SUM(AB39,AB41,AB42)</x:f>
        <x:v>0</x:v>
      </x:c>
      <x:c r="AC81" s="113" t="n">
        <x:f>AC37-SUM(AC39,AC41,AC42)</x:f>
        <x:v>0</x:v>
      </x:c>
      <x:c r="AD81" s="113" t="n">
        <x:f>AD37-SUM(AD39,AD41,AD42)</x:f>
        <x:v>0</x:v>
      </x:c>
      <x:c r="AE81" s="113" t="n">
        <x:f>AE37-SUM(AE39,AE41,AE42)</x:f>
        <x:v>0</x:v>
      </x:c>
      <x:c r="AF81" s="113" t="n">
        <x:f>AF37-SUM(AF39,AF41,AF42)</x:f>
        <x:v>0</x:v>
      </x:c>
      <x:c r="AG81" s="113" t="n">
        <x:f>AG37-SUM(AG39,AG41,AG42)</x:f>
        <x:v>0</x:v>
      </x:c>
      <x:c r="AH81" s="113" t="n">
        <x:f>AH37-SUM(AH39,AH41,AH42)</x:f>
        <x:v>0</x:v>
      </x:c>
      <x:c r="AI81" s="113" t="n">
        <x:f>AI37-SUM(AI39,AI41,AI42)</x:f>
        <x:v>0</x:v>
      </x:c>
      <x:c r="AJ81" s="113" t="n">
        <x:f>AJ37-SUM(AJ39,AJ41,AJ42)</x:f>
        <x:v>0</x:v>
      </x:c>
      <x:c r="AK81" s="113" t="n">
        <x:f>AK37-SUM(AK39,AK41,AK42)</x:f>
        <x:v>0</x:v>
      </x:c>
      <x:c r="AL81" s="113" t="n">
        <x:f>AL37-SUM(AL39,AL41,AL42)</x:f>
        <x:v>0</x:v>
      </x:c>
    </x:row>
    <x:row r="82">
      <x:c r="A82" s="84" t="str">
        <x:v>Cash roll-forward check</x:v>
      </x:c>
      <x:c r="B82" s="84" t="str">
        <x:v>check</x:v>
      </x:c>
      <x:c r="C82" s="113" t="n">
        <x:f>C75-(C74+C70-C71+C73)</x:f>
        <x:v>0</x:v>
      </x:c>
      <x:c r="D82" s="113" t="n">
        <x:f>D75-(D74+D70-D71+D73)</x:f>
        <x:v>0</x:v>
      </x:c>
      <x:c r="E82" s="113" t="n">
        <x:f>E75-(E74+E70-E71+E73)</x:f>
        <x:v>0</x:v>
      </x:c>
      <x:c r="F82" s="113" t="n">
        <x:f>F75-(F74+F70-F71+F73)</x:f>
        <x:v>0</x:v>
      </x:c>
      <x:c r="G82" s="113" t="n">
        <x:f>G75-(G74+G70-G71+G73)</x:f>
        <x:v>0</x:v>
      </x:c>
      <x:c r="H82" s="113" t="n">
        <x:f>H75-(H74+H70-H71+H73)</x:f>
        <x:v>0</x:v>
      </x:c>
      <x:c r="I82" s="113" t="n">
        <x:f>I75-(I74+I70-I71+I73)</x:f>
        <x:v>0</x:v>
      </x:c>
      <x:c r="J82" s="113" t="n">
        <x:f>J75-(J74+J70-J71+J73)</x:f>
        <x:v>0</x:v>
      </x:c>
      <x:c r="K82" s="113" t="n">
        <x:f>K75-(K74+K70-K71+K73)</x:f>
        <x:v>0</x:v>
      </x:c>
      <x:c r="L82" s="113" t="n">
        <x:f>L75-(L74+L70-L71+L73)</x:f>
        <x:v>0</x:v>
      </x:c>
      <x:c r="M82" s="113" t="n">
        <x:f>M75-(M74+M70-M71+M73)</x:f>
        <x:v>0</x:v>
      </x:c>
      <x:c r="N82" s="113" t="n">
        <x:f>N75-(N74+N70-N71+N73)</x:f>
        <x:v>0</x:v>
      </x:c>
      <x:c r="O82" s="113" t="n">
        <x:f>O75-(O74+O70-O71+O73)</x:f>
        <x:v>0</x:v>
      </x:c>
      <x:c r="P82" s="113" t="n">
        <x:f>P75-(P74+P70-P71+P73)</x:f>
        <x:v>0</x:v>
      </x:c>
      <x:c r="Q82" s="113" t="n">
        <x:f>Q75-(Q74+Q70-Q71+Q73)</x:f>
        <x:v>0</x:v>
      </x:c>
      <x:c r="R82" s="113" t="n">
        <x:f>R75-(R74+R70-R71+R73)</x:f>
        <x:v>0</x:v>
      </x:c>
      <x:c r="S82" s="113" t="n">
        <x:f>S75-(S74+S70-S71+S73)</x:f>
        <x:v>0</x:v>
      </x:c>
      <x:c r="T82" s="113" t="n">
        <x:f>T75-(T74+T70-T71+T73)</x:f>
        <x:v>0</x:v>
      </x:c>
      <x:c r="U82" s="113" t="n">
        <x:f>U75-(U74+U70-U71+U73)</x:f>
        <x:v>0</x:v>
      </x:c>
      <x:c r="V82" s="113" t="n">
        <x:f>V75-(V74+V70-V71+V73)</x:f>
        <x:v>0</x:v>
      </x:c>
      <x:c r="W82" s="113" t="n">
        <x:f>W75-(W74+W70-W71+W73)</x:f>
        <x:v>0</x:v>
      </x:c>
      <x:c r="X82" s="113" t="n">
        <x:f>X75-(X74+X70-X71+X73)</x:f>
        <x:v>0</x:v>
      </x:c>
      <x:c r="Y82" s="113" t="n">
        <x:f>Y75-(Y74+Y70-Y71+Y73)</x:f>
        <x:v>0</x:v>
      </x:c>
      <x:c r="Z82" s="113" t="n">
        <x:f>Z75-(Z74+Z70-Z71+Z73)</x:f>
        <x:v>0</x:v>
      </x:c>
      <x:c r="AA82" s="113" t="n">
        <x:f>AA75-(AA74+AA70-AA71+AA73)</x:f>
        <x:v>0</x:v>
      </x:c>
      <x:c r="AB82" s="113" t="n">
        <x:f>AB75-(AB74+AB70-AB71+AB73)</x:f>
        <x:v>0</x:v>
      </x:c>
      <x:c r="AC82" s="113" t="n">
        <x:f>AC75-(AC74+AC70-AC71+AC73)</x:f>
        <x:v>0</x:v>
      </x:c>
      <x:c r="AD82" s="113" t="n">
        <x:f>AD75-(AD74+AD70-AD71+AD73)</x:f>
        <x:v>0</x:v>
      </x:c>
      <x:c r="AE82" s="113" t="n">
        <x:f>AE75-(AE74+AE70-AE71+AE73)</x:f>
        <x:v>0</x:v>
      </x:c>
      <x:c r="AF82" s="113" t="n">
        <x:f>AF75-(AF74+AF70-AF71+AF73)</x:f>
        <x:v>0</x:v>
      </x:c>
      <x:c r="AG82" s="113" t="n">
        <x:f>AG75-(AG74+AG70-AG71+AG73)</x:f>
        <x:v>0</x:v>
      </x:c>
      <x:c r="AH82" s="113" t="n">
        <x:f>AH75-(AH74+AH70-AH71+AH73)</x:f>
        <x:v>0</x:v>
      </x:c>
      <x:c r="AI82" s="113" t="n">
        <x:f>AI75-(AI74+AI70-AI71+AI73)</x:f>
        <x:v>0</x:v>
      </x:c>
      <x:c r="AJ82" s="113" t="n">
        <x:f>AJ75-(AJ74+AJ70-AJ71+AJ73)</x:f>
        <x:v>0</x:v>
      </x:c>
      <x:c r="AK82" s="113" t="n">
        <x:f>AK75-(AK74+AK70-AK71+AK73)</x:f>
        <x:v>0</x:v>
      </x:c>
      <x:c r="AL82" s="113" t="n">
        <x:f>AL75-(AL74+AL70-AL71+AL73)</x:f>
        <x:v>0</x:v>
      </x:c>
    </x:row>
    <x:row r="83">
      <x:c r="A83" s="84"/>
      <x:c r="B83" s="84"/>
      <x:c r="C83" s="84"/>
      <x:c r="D83" s="84"/>
      <x:c r="E83" s="84"/>
      <x:c r="F83" s="84"/>
      <x:c r="G83" s="84"/>
      <x:c r="H83" s="84"/>
      <x:c r="I83" s="84"/>
      <x:c r="J83" s="84"/>
      <x:c r="K83" s="84"/>
      <x:c r="L83" s="84"/>
      <x:c r="M83" s="84"/>
      <x:c r="N83" s="84"/>
      <x:c r="O83" s="84"/>
      <x:c r="P83" s="84"/>
      <x:c r="Q83" s="84"/>
      <x:c r="R83" s="84"/>
      <x:c r="S83" s="84"/>
      <x:c r="T83" s="84"/>
      <x:c r="U83" s="84"/>
      <x:c r="V83" s="84"/>
      <x:c r="W83" s="84"/>
      <x:c r="X83" s="84"/>
      <x:c r="Y83" s="84"/>
      <x:c r="Z83" s="84"/>
      <x:c r="AA83" s="84"/>
      <x:c r="AB83" s="84"/>
      <x:c r="AC83" s="84"/>
      <x:c r="AD83" s="84"/>
      <x:c r="AE83" s="84"/>
      <x:c r="AF83" s="84"/>
      <x:c r="AG83" s="84"/>
      <x:c r="AH83" s="84"/>
      <x:c r="AI83" s="84"/>
      <x:c r="AJ83" s="84"/>
      <x:c r="AK83" s="84"/>
      <x:c r="AL83" s="84"/>
    </x:row>
    <x:row r="84">
      <x:c r="A84" s="119" t="str">
        <x:v>BASE</x:v>
      </x:c>
      <x:c r="B84" s="119"/>
      <x:c r="C84" s="119"/>
      <x:c r="D84" s="119"/>
      <x:c r="E84" s="119"/>
      <x:c r="F84" s="119"/>
      <x:c r="G84" s="119"/>
      <x:c r="H84" s="119"/>
      <x:c r="I84" s="119"/>
      <x:c r="J84" s="119"/>
      <x:c r="K84" s="119"/>
      <x:c r="L84" s="119"/>
      <x:c r="M84" s="119"/>
      <x:c r="N84" s="119"/>
      <x:c r="O84" s="119"/>
      <x:c r="P84" s="119"/>
      <x:c r="Q84" s="119"/>
      <x:c r="R84" s="119"/>
      <x:c r="S84" s="119"/>
      <x:c r="T84" s="119"/>
      <x:c r="U84" s="119"/>
      <x:c r="V84" s="119"/>
      <x:c r="W84" s="119"/>
      <x:c r="X84" s="119"/>
      <x:c r="Y84" s="119"/>
      <x:c r="Z84" s="119"/>
      <x:c r="AA84" s="119"/>
      <x:c r="AB84" s="119"/>
      <x:c r="AC84" s="119"/>
      <x:c r="AD84" s="119"/>
      <x:c r="AE84" s="119"/>
      <x:c r="AF84" s="119"/>
      <x:c r="AG84" s="119"/>
      <x:c r="AH84" s="119"/>
      <x:c r="AI84" s="119"/>
      <x:c r="AJ84" s="119"/>
      <x:c r="AK84" s="119"/>
      <x:c r="AL84" s="119"/>
    </x:row>
    <x:row r="85">
      <x:c r="A85" s="84" t="str">
        <x:v>Metric</x:v>
      </x:c>
      <x:c r="B85" s="84" t="str">
        <x:v>Unit</x:v>
      </x:c>
      <x:c r="C85" s="84" t="n">
        <x:v>1</x:v>
      </x:c>
      <x:c r="D85" s="84" t="n">
        <x:v>2</x:v>
      </x:c>
      <x:c r="E85" s="84" t="n">
        <x:v>3</x:v>
      </x:c>
      <x:c r="F85" s="84" t="n">
        <x:v>4</x:v>
      </x:c>
      <x:c r="G85" s="84" t="n">
        <x:v>5</x:v>
      </x:c>
      <x:c r="H85" s="84" t="n">
        <x:v>6</x:v>
      </x:c>
      <x:c r="I85" s="84" t="n">
        <x:v>7</x:v>
      </x:c>
      <x:c r="J85" s="84" t="n">
        <x:v>8</x:v>
      </x:c>
      <x:c r="K85" s="84" t="n">
        <x:v>9</x:v>
      </x:c>
      <x:c r="L85" s="84" t="n">
        <x:v>10</x:v>
      </x:c>
      <x:c r="M85" s="84" t="n">
        <x:v>11</x:v>
      </x:c>
      <x:c r="N85" s="84" t="n">
        <x:v>12</x:v>
      </x:c>
      <x:c r="O85" s="84" t="n">
        <x:v>13</x:v>
      </x:c>
      <x:c r="P85" s="84" t="n">
        <x:v>14</x:v>
      </x:c>
      <x:c r="Q85" s="84" t="n">
        <x:v>15</x:v>
      </x:c>
      <x:c r="R85" s="84" t="n">
        <x:v>16</x:v>
      </x:c>
      <x:c r="S85" s="84" t="n">
        <x:v>17</x:v>
      </x:c>
      <x:c r="T85" s="84" t="n">
        <x:v>18</x:v>
      </x:c>
      <x:c r="U85" s="84" t="n">
        <x:v>19</x:v>
      </x:c>
      <x:c r="V85" s="84" t="n">
        <x:v>20</x:v>
      </x:c>
      <x:c r="W85" s="84" t="n">
        <x:v>21</x:v>
      </x:c>
      <x:c r="X85" s="84" t="n">
        <x:v>22</x:v>
      </x:c>
      <x:c r="Y85" s="84" t="n">
        <x:v>23</x:v>
      </x:c>
      <x:c r="Z85" s="84" t="n">
        <x:v>24</x:v>
      </x:c>
      <x:c r="AA85" s="84" t="n">
        <x:v>25</x:v>
      </x:c>
      <x:c r="AB85" s="84" t="n">
        <x:v>26</x:v>
      </x:c>
      <x:c r="AC85" s="84" t="n">
        <x:v>27</x:v>
      </x:c>
      <x:c r="AD85" s="84" t="n">
        <x:v>28</x:v>
      </x:c>
      <x:c r="AE85" s="84" t="n">
        <x:v>29</x:v>
      </x:c>
      <x:c r="AF85" s="84" t="n">
        <x:v>30</x:v>
      </x:c>
      <x:c r="AG85" s="84" t="n">
        <x:v>31</x:v>
      </x:c>
      <x:c r="AH85" s="84" t="n">
        <x:v>32</x:v>
      </x:c>
      <x:c r="AI85" s="84" t="n">
        <x:v>33</x:v>
      </x:c>
      <x:c r="AJ85" s="84" t="n">
        <x:v>34</x:v>
      </x:c>
      <x:c r="AK85" s="84" t="n">
        <x:v>35</x:v>
      </x:c>
      <x:c r="AL85" s="84" t="n">
        <x:v>36</x:v>
      </x:c>
    </x:row>
    <x:row r="86">
      <x:c r="A86" s="84" t="str">
        <x:v>Month number</x:v>
      </x:c>
      <x:c r="B86" s="84" t="str">
        <x:v>#</x:v>
      </x:c>
      <x:c r="C86" s="105" t="n">
        <x:f>1</x:f>
        <x:v>1</x:v>
      </x:c>
      <x:c r="D86" s="105" t="n">
        <x:f>2</x:f>
        <x:v>2</x:v>
      </x:c>
      <x:c r="E86" s="105" t="n">
        <x:f>3</x:f>
        <x:v>3</x:v>
      </x:c>
      <x:c r="F86" s="105" t="n">
        <x:f>4</x:f>
        <x:v>4</x:v>
      </x:c>
      <x:c r="G86" s="105" t="n">
        <x:f>5</x:f>
        <x:v>5</x:v>
      </x:c>
      <x:c r="H86" s="105" t="n">
        <x:f>6</x:f>
        <x:v>6</x:v>
      </x:c>
      <x:c r="I86" s="105" t="n">
        <x:f>7</x:f>
        <x:v>7</x:v>
      </x:c>
      <x:c r="J86" s="105" t="n">
        <x:f>8</x:f>
        <x:v>8</x:v>
      </x:c>
      <x:c r="K86" s="105" t="n">
        <x:f>9</x:f>
        <x:v>9</x:v>
      </x:c>
      <x:c r="L86" s="105" t="n">
        <x:f>10</x:f>
        <x:v>10</x:v>
      </x:c>
      <x:c r="M86" s="105" t="n">
        <x:f>11</x:f>
        <x:v>11</x:v>
      </x:c>
      <x:c r="N86" s="105" t="n">
        <x:f>12</x:f>
        <x:v>12</x:v>
      </x:c>
      <x:c r="O86" s="105" t="n">
        <x:f>13</x:f>
        <x:v>13</x:v>
      </x:c>
      <x:c r="P86" s="105" t="n">
        <x:f>14</x:f>
        <x:v>14</x:v>
      </x:c>
      <x:c r="Q86" s="105" t="n">
        <x:f>15</x:f>
        <x:v>15</x:v>
      </x:c>
      <x:c r="R86" s="105" t="n">
        <x:f>16</x:f>
        <x:v>16</x:v>
      </x:c>
      <x:c r="S86" s="105" t="n">
        <x:f>17</x:f>
        <x:v>17</x:v>
      </x:c>
      <x:c r="T86" s="105" t="n">
        <x:f>18</x:f>
        <x:v>18</x:v>
      </x:c>
      <x:c r="U86" s="105" t="n">
        <x:f>19</x:f>
        <x:v>19</x:v>
      </x:c>
      <x:c r="V86" s="105" t="n">
        <x:f>20</x:f>
        <x:v>20</x:v>
      </x:c>
      <x:c r="W86" s="105" t="n">
        <x:f>21</x:f>
        <x:v>21</x:v>
      </x:c>
      <x:c r="X86" s="105" t="n">
        <x:f>22</x:f>
        <x:v>22</x:v>
      </x:c>
      <x:c r="Y86" s="105" t="n">
        <x:f>23</x:f>
        <x:v>23</x:v>
      </x:c>
      <x:c r="Z86" s="105" t="n">
        <x:f>24</x:f>
        <x:v>24</x:v>
      </x:c>
      <x:c r="AA86" s="105" t="n">
        <x:f>25</x:f>
        <x:v>25</x:v>
      </x:c>
      <x:c r="AB86" s="105" t="n">
        <x:f>26</x:f>
        <x:v>26</x:v>
      </x:c>
      <x:c r="AC86" s="105" t="n">
        <x:f>27</x:f>
        <x:v>27</x:v>
      </x:c>
      <x:c r="AD86" s="105" t="n">
        <x:f>28</x:f>
        <x:v>28</x:v>
      </x:c>
      <x:c r="AE86" s="105" t="n">
        <x:f>29</x:f>
        <x:v>29</x:v>
      </x:c>
      <x:c r="AF86" s="105" t="n">
        <x:f>30</x:f>
        <x:v>30</x:v>
      </x:c>
      <x:c r="AG86" s="105" t="n">
        <x:f>31</x:f>
        <x:v>31</x:v>
      </x:c>
      <x:c r="AH86" s="105" t="n">
        <x:f>32</x:f>
        <x:v>32</x:v>
      </x:c>
      <x:c r="AI86" s="105" t="n">
        <x:f>33</x:f>
        <x:v>33</x:v>
      </x:c>
      <x:c r="AJ86" s="105" t="n">
        <x:f>34</x:f>
        <x:v>34</x:v>
      </x:c>
      <x:c r="AK86" s="105" t="n">
        <x:f>35</x:f>
        <x:v>35</x:v>
      </x:c>
      <x:c r="AL86" s="105" t="n">
        <x:f>36</x:f>
        <x:v>36</x:v>
      </x:c>
    </x:row>
    <x:row r="87">
      <x:c r="A87" s="84" t="str">
        <x:v>Month</x:v>
      </x:c>
      <x:c r="B87" s="84" t="str">
        <x:v>date</x:v>
      </x:c>
      <x:c r="C87" s="111" t="n">
        <x:f>DATE(2026,9,1)</x:f>
        <x:v>46266</x:v>
      </x:c>
      <x:c r="D87" s="111" t="n">
        <x:f>EDATE(C87,1)</x:f>
        <x:v>46296</x:v>
      </x:c>
      <x:c r="E87" s="111" t="n">
        <x:f>EDATE(D87,1)</x:f>
        <x:v>46327</x:v>
      </x:c>
      <x:c r="F87" s="111" t="n">
        <x:f>EDATE(E87,1)</x:f>
        <x:v>46357</x:v>
      </x:c>
      <x:c r="G87" s="111" t="n">
        <x:f>EDATE(F87,1)</x:f>
        <x:v>46388</x:v>
      </x:c>
      <x:c r="H87" s="111" t="n">
        <x:f>EDATE(G87,1)</x:f>
        <x:v>46419</x:v>
      </x:c>
      <x:c r="I87" s="111" t="n">
        <x:f>EDATE(H87,1)</x:f>
        <x:v>46447</x:v>
      </x:c>
      <x:c r="J87" s="111" t="n">
        <x:f>EDATE(I87,1)</x:f>
        <x:v>46478</x:v>
      </x:c>
      <x:c r="K87" s="111" t="n">
        <x:f>EDATE(J87,1)</x:f>
        <x:v>46508</x:v>
      </x:c>
      <x:c r="L87" s="111" t="n">
        <x:f>EDATE(K87,1)</x:f>
        <x:v>46539</x:v>
      </x:c>
      <x:c r="M87" s="111" t="n">
        <x:f>EDATE(L87,1)</x:f>
        <x:v>46569</x:v>
      </x:c>
      <x:c r="N87" s="111" t="n">
        <x:f>EDATE(M87,1)</x:f>
        <x:v>46600</x:v>
      </x:c>
      <x:c r="O87" s="111" t="n">
        <x:f>EDATE(N87,1)</x:f>
        <x:v>46631</x:v>
      </x:c>
      <x:c r="P87" s="111" t="n">
        <x:f>EDATE(O87,1)</x:f>
        <x:v>46661</x:v>
      </x:c>
      <x:c r="Q87" s="111" t="n">
        <x:f>EDATE(P87,1)</x:f>
        <x:v>46692</x:v>
      </x:c>
      <x:c r="R87" s="111" t="n">
        <x:f>EDATE(Q87,1)</x:f>
        <x:v>46722</x:v>
      </x:c>
      <x:c r="S87" s="111" t="n">
        <x:f>EDATE(R87,1)</x:f>
        <x:v>46753</x:v>
      </x:c>
      <x:c r="T87" s="111" t="n">
        <x:f>EDATE(S87,1)</x:f>
        <x:v>46784</x:v>
      </x:c>
      <x:c r="U87" s="111" t="n">
        <x:f>EDATE(T87,1)</x:f>
        <x:v>46813</x:v>
      </x:c>
      <x:c r="V87" s="111" t="n">
        <x:f>EDATE(U87,1)</x:f>
        <x:v>46844</x:v>
      </x:c>
      <x:c r="W87" s="111" t="n">
        <x:f>EDATE(V87,1)</x:f>
        <x:v>46874</x:v>
      </x:c>
      <x:c r="X87" s="111" t="n">
        <x:f>EDATE(W87,1)</x:f>
        <x:v>46905</x:v>
      </x:c>
      <x:c r="Y87" s="111" t="n">
        <x:f>EDATE(X87,1)</x:f>
        <x:v>46935</x:v>
      </x:c>
      <x:c r="Z87" s="111" t="n">
        <x:f>EDATE(Y87,1)</x:f>
        <x:v>46966</x:v>
      </x:c>
      <x:c r="AA87" s="111" t="n">
        <x:f>EDATE(Z87,1)</x:f>
        <x:v>46997</x:v>
      </x:c>
      <x:c r="AB87" s="111" t="n">
        <x:f>EDATE(AA87,1)</x:f>
        <x:v>47027</x:v>
      </x:c>
      <x:c r="AC87" s="111" t="n">
        <x:f>EDATE(AB87,1)</x:f>
        <x:v>47058</x:v>
      </x:c>
      <x:c r="AD87" s="111" t="n">
        <x:f>EDATE(AC87,1)</x:f>
        <x:v>47088</x:v>
      </x:c>
      <x:c r="AE87" s="111" t="n">
        <x:f>EDATE(AD87,1)</x:f>
        <x:v>47119</x:v>
      </x:c>
      <x:c r="AF87" s="111" t="n">
        <x:f>EDATE(AE87,1)</x:f>
        <x:v>47150</x:v>
      </x:c>
      <x:c r="AG87" s="111" t="n">
        <x:f>EDATE(AF87,1)</x:f>
        <x:v>47178</x:v>
      </x:c>
      <x:c r="AH87" s="111" t="n">
        <x:f>EDATE(AG87,1)</x:f>
        <x:v>47209</x:v>
      </x:c>
      <x:c r="AI87" s="111" t="n">
        <x:f>EDATE(AH87,1)</x:f>
        <x:v>47239</x:v>
      </x:c>
      <x:c r="AJ87" s="111" t="n">
        <x:f>EDATE(AI87,1)</x:f>
        <x:v>47270</x:v>
      </x:c>
      <x:c r="AK87" s="111" t="n">
        <x:f>EDATE(AJ87,1)</x:f>
        <x:v>47300</x:v>
      </x:c>
      <x:c r="AL87" s="111" t="n">
        <x:f>EDATE(AK87,1)</x:f>
        <x:v>47331</x:v>
      </x:c>
    </x:row>
    <x:row r="88">
      <x:c r="A88" s="63" t="str">
        <x:v>PAID ACQUISITION + CUSTOMER COHORT</x:v>
      </x:c>
      <x:c r="B88" s="63" t="str"/>
      <x:c r="C88" s="112"/>
      <x:c r="D88" s="112"/>
      <x:c r="E88" s="112"/>
      <x:c r="F88" s="112"/>
      <x:c r="G88" s="112"/>
      <x:c r="H88" s="112"/>
      <x:c r="I88" s="112"/>
      <x:c r="J88" s="112"/>
      <x:c r="K88" s="112"/>
      <x:c r="L88" s="112"/>
      <x:c r="M88" s="112"/>
      <x:c r="N88" s="112"/>
      <x:c r="O88" s="112"/>
      <x:c r="P88" s="112"/>
      <x:c r="Q88" s="112"/>
      <x:c r="R88" s="112"/>
      <x:c r="S88" s="112"/>
      <x:c r="T88" s="112"/>
      <x:c r="U88" s="112"/>
      <x:c r="V88" s="112"/>
      <x:c r="W88" s="112"/>
      <x:c r="X88" s="112"/>
      <x:c r="Y88" s="112"/>
      <x:c r="Z88" s="112"/>
      <x:c r="AA88" s="112"/>
      <x:c r="AB88" s="112"/>
      <x:c r="AC88" s="112"/>
      <x:c r="AD88" s="112"/>
      <x:c r="AE88" s="112"/>
      <x:c r="AF88" s="112"/>
      <x:c r="AG88" s="112"/>
      <x:c r="AH88" s="112"/>
      <x:c r="AI88" s="112"/>
      <x:c r="AJ88" s="112"/>
      <x:c r="AK88" s="112"/>
      <x:c r="AL88" s="112"/>
    </x:row>
    <x:row r="89">
      <x:c r="A89" s="84" t="str">
        <x:v>Paid reviews</x:v>
      </x:c>
      <x:c r="B89" s="84" t="str">
        <x:v>count</x:v>
      </x:c>
      <x:c r="C89" s="113" t="n">
        <x:f>'Scenarios'!$D$25</x:f>
        <x:v>0.33</x:v>
      </x:c>
      <x:c r="D89" s="113" t="n">
        <x:f>'Scenarios'!$D$25</x:f>
        <x:v>0.33</x:v>
      </x:c>
      <x:c r="E89" s="113" t="n">
        <x:f>'Scenarios'!$D$25</x:f>
        <x:v>0.33</x:v>
      </x:c>
      <x:c r="F89" s="113" t="n">
        <x:f>'Scenarios'!$D$26</x:f>
        <x:v>0.67</x:v>
      </x:c>
      <x:c r="G89" s="113" t="n">
        <x:f>'Scenarios'!$D$26</x:f>
        <x:v>0.67</x:v>
      </x:c>
      <x:c r="H89" s="113" t="n">
        <x:f>'Scenarios'!$D$26</x:f>
        <x:v>0.67</x:v>
      </x:c>
      <x:c r="I89" s="113" t="n">
        <x:f>'Scenarios'!$D$27</x:f>
        <x:v>0.67</x:v>
      </x:c>
      <x:c r="J89" s="113" t="n">
        <x:f>'Scenarios'!$D$27</x:f>
        <x:v>0.67</x:v>
      </x:c>
      <x:c r="K89" s="113" t="n">
        <x:f>'Scenarios'!$D$27</x:f>
        <x:v>0.67</x:v>
      </x:c>
      <x:c r="L89" s="113" t="n">
        <x:f>'Scenarios'!$D$27</x:f>
        <x:v>0.67</x:v>
      </x:c>
      <x:c r="M89" s="113" t="n">
        <x:f>'Scenarios'!$D$27</x:f>
        <x:v>0.67</x:v>
      </x:c>
      <x:c r="N89" s="113" t="n">
        <x:f>'Scenarios'!$D$27</x:f>
        <x:v>0.67</x:v>
      </x:c>
      <x:c r="O89" s="113" t="n">
        <x:f>'Scenarios'!$D$28</x:f>
        <x:v>1</x:v>
      </x:c>
      <x:c r="P89" s="113" t="n">
        <x:f>'Scenarios'!$D$28</x:f>
        <x:v>1</x:v>
      </x:c>
      <x:c r="Q89" s="113" t="n">
        <x:f>'Scenarios'!$D$28</x:f>
        <x:v>1</x:v>
      </x:c>
      <x:c r="R89" s="113" t="n">
        <x:f>'Scenarios'!$D$28</x:f>
        <x:v>1</x:v>
      </x:c>
      <x:c r="S89" s="113" t="n">
        <x:f>'Scenarios'!$D$28</x:f>
        <x:v>1</x:v>
      </x:c>
      <x:c r="T89" s="113" t="n">
        <x:f>'Scenarios'!$D$28</x:f>
        <x:v>1</x:v>
      </x:c>
      <x:c r="U89" s="113" t="n">
        <x:f>'Scenarios'!$D$29</x:f>
        <x:v>1.25</x:v>
      </x:c>
      <x:c r="V89" s="113" t="n">
        <x:f>'Scenarios'!$D$29</x:f>
        <x:v>1.25</x:v>
      </x:c>
      <x:c r="W89" s="113" t="n">
        <x:f>'Scenarios'!$D$29</x:f>
        <x:v>1.25</x:v>
      </x:c>
      <x:c r="X89" s="113" t="n">
        <x:f>'Scenarios'!$D$29</x:f>
        <x:v>1.25</x:v>
      </x:c>
      <x:c r="Y89" s="113" t="n">
        <x:f>'Scenarios'!$D$29</x:f>
        <x:v>1.25</x:v>
      </x:c>
      <x:c r="Z89" s="113" t="n">
        <x:f>'Scenarios'!$D$29</x:f>
        <x:v>1.25</x:v>
      </x:c>
      <x:c r="AA89" s="113" t="n">
        <x:f>'Scenarios'!$D$30</x:f>
        <x:v>1.5</x:v>
      </x:c>
      <x:c r="AB89" s="113" t="n">
        <x:f>'Scenarios'!$D$30</x:f>
        <x:v>1.5</x:v>
      </x:c>
      <x:c r="AC89" s="113" t="n">
        <x:f>'Scenarios'!$D$30</x:f>
        <x:v>1.5</x:v>
      </x:c>
      <x:c r="AD89" s="113" t="n">
        <x:f>'Scenarios'!$D$30</x:f>
        <x:v>1.5</x:v>
      </x:c>
      <x:c r="AE89" s="113" t="n">
        <x:f>'Scenarios'!$D$30</x:f>
        <x:v>1.5</x:v>
      </x:c>
      <x:c r="AF89" s="113" t="n">
        <x:f>'Scenarios'!$D$30</x:f>
        <x:v>1.5</x:v>
      </x:c>
      <x:c r="AG89" s="113" t="n">
        <x:f>'Scenarios'!$D$30</x:f>
        <x:v>1.5</x:v>
      </x:c>
      <x:c r="AH89" s="113" t="n">
        <x:f>'Scenarios'!$D$30</x:f>
        <x:v>1.5</x:v>
      </x:c>
      <x:c r="AI89" s="113" t="n">
        <x:f>'Scenarios'!$D$30</x:f>
        <x:v>1.5</x:v>
      </x:c>
      <x:c r="AJ89" s="113" t="n">
        <x:f>'Scenarios'!$D$30</x:f>
        <x:v>1.5</x:v>
      </x:c>
      <x:c r="AK89" s="113" t="n">
        <x:f>'Scenarios'!$D$30</x:f>
        <x:v>1.5</x:v>
      </x:c>
      <x:c r="AL89" s="113" t="n">
        <x:f>'Scenarios'!$D$30</x:f>
        <x:v>1.5</x:v>
      </x:c>
    </x:row>
    <x:row r="90">
      <x:c r="A90" s="84" t="str">
        <x:v>New launches</x:v>
      </x:c>
      <x:c r="B90" s="84" t="str">
        <x:v>count</x:v>
      </x:c>
      <x:c r="C90" s="113" t="n">
        <x:f>0</x:f>
        <x:v>0</x:v>
      </x:c>
      <x:c r="D90" s="113" t="n">
        <x:f>C89*'Scenarios'!$D$17</x:f>
        <x:v>0.198</x:v>
      </x:c>
      <x:c r="E90" s="113" t="n">
        <x:f>D89*'Scenarios'!$D$17</x:f>
        <x:v>0.198</x:v>
      </x:c>
      <x:c r="F90" s="113" t="n">
        <x:f>E89*'Scenarios'!$D$17</x:f>
        <x:v>0.198</x:v>
      </x:c>
      <x:c r="G90" s="113" t="n">
        <x:f>F89*'Scenarios'!$D$17</x:f>
        <x:v>0.402</x:v>
      </x:c>
      <x:c r="H90" s="113" t="n">
        <x:f>G89*'Scenarios'!$D$17</x:f>
        <x:v>0.402</x:v>
      </x:c>
      <x:c r="I90" s="113" t="n">
        <x:f>H89*'Scenarios'!$D$17</x:f>
        <x:v>0.402</x:v>
      </x:c>
      <x:c r="J90" s="113" t="n">
        <x:f>I89*'Scenarios'!$D$17</x:f>
        <x:v>0.402</x:v>
      </x:c>
      <x:c r="K90" s="113" t="n">
        <x:f>J89*'Scenarios'!$D$17</x:f>
        <x:v>0.402</x:v>
      </x:c>
      <x:c r="L90" s="113" t="n">
        <x:f>K89*'Scenarios'!$D$17</x:f>
        <x:v>0.402</x:v>
      </x:c>
      <x:c r="M90" s="113" t="n">
        <x:f>L89*'Scenarios'!$D$17</x:f>
        <x:v>0.402</x:v>
      </x:c>
      <x:c r="N90" s="113" t="n">
        <x:f>M89*'Scenarios'!$D$17</x:f>
        <x:v>0.402</x:v>
      </x:c>
      <x:c r="O90" s="113" t="n">
        <x:f>N89*'Scenarios'!$D$17</x:f>
        <x:v>0.402</x:v>
      </x:c>
      <x:c r="P90" s="113" t="n">
        <x:f>O89*'Scenarios'!$D$17</x:f>
        <x:v>0.6</x:v>
      </x:c>
      <x:c r="Q90" s="113" t="n">
        <x:f>P89*'Scenarios'!$D$17</x:f>
        <x:v>0.6</x:v>
      </x:c>
      <x:c r="R90" s="113" t="n">
        <x:f>Q89*'Scenarios'!$D$17</x:f>
        <x:v>0.6</x:v>
      </x:c>
      <x:c r="S90" s="113" t="n">
        <x:f>R89*'Scenarios'!$D$17</x:f>
        <x:v>0.6</x:v>
      </x:c>
      <x:c r="T90" s="113" t="n">
        <x:f>S89*'Scenarios'!$D$17</x:f>
        <x:v>0.6</x:v>
      </x:c>
      <x:c r="U90" s="113" t="n">
        <x:f>T89*'Scenarios'!$D$17</x:f>
        <x:v>0.6</x:v>
      </x:c>
      <x:c r="V90" s="113" t="n">
        <x:f>U89*'Scenarios'!$D$17</x:f>
        <x:v>0.75</x:v>
      </x:c>
      <x:c r="W90" s="113" t="n">
        <x:f>V89*'Scenarios'!$D$17</x:f>
        <x:v>0.75</x:v>
      </x:c>
      <x:c r="X90" s="113" t="n">
        <x:f>W89*'Scenarios'!$D$17</x:f>
        <x:v>0.75</x:v>
      </x:c>
      <x:c r="Y90" s="113" t="n">
        <x:f>X89*'Scenarios'!$D$17</x:f>
        <x:v>0.75</x:v>
      </x:c>
      <x:c r="Z90" s="113" t="n">
        <x:f>Y89*'Scenarios'!$D$17</x:f>
        <x:v>0.75</x:v>
      </x:c>
      <x:c r="AA90" s="113" t="n">
        <x:f>Z89*'Scenarios'!$D$17</x:f>
        <x:v>0.75</x:v>
      </x:c>
      <x:c r="AB90" s="113" t="n">
        <x:f>AA89*'Scenarios'!$D$17</x:f>
        <x:v>0.8999999999999999</x:v>
      </x:c>
      <x:c r="AC90" s="113" t="n">
        <x:f>AB89*'Scenarios'!$D$17</x:f>
        <x:v>0.8999999999999999</x:v>
      </x:c>
      <x:c r="AD90" s="113" t="n">
        <x:f>AC89*'Scenarios'!$D$17</x:f>
        <x:v>0.8999999999999999</x:v>
      </x:c>
      <x:c r="AE90" s="113" t="n">
        <x:f>AD89*'Scenarios'!$D$17</x:f>
        <x:v>0.8999999999999999</x:v>
      </x:c>
      <x:c r="AF90" s="113" t="n">
        <x:f>AE89*'Scenarios'!$D$17</x:f>
        <x:v>0.8999999999999999</x:v>
      </x:c>
      <x:c r="AG90" s="113" t="n">
        <x:f>AF89*'Scenarios'!$D$17</x:f>
        <x:v>0.8999999999999999</x:v>
      </x:c>
      <x:c r="AH90" s="113" t="n">
        <x:f>AG89*'Scenarios'!$D$17</x:f>
        <x:v>0.8999999999999999</x:v>
      </x:c>
      <x:c r="AI90" s="113" t="n">
        <x:f>AH89*'Scenarios'!$D$17</x:f>
        <x:v>0.8999999999999999</x:v>
      </x:c>
      <x:c r="AJ90" s="113" t="n">
        <x:f>AI89*'Scenarios'!$D$17</x:f>
        <x:v>0.8999999999999999</x:v>
      </x:c>
      <x:c r="AK90" s="113" t="n">
        <x:f>AJ89*'Scenarios'!$D$17</x:f>
        <x:v>0.8999999999999999</x:v>
      </x:c>
      <x:c r="AL90" s="113" t="n">
        <x:f>AK89*'Scenarios'!$D$17</x:f>
        <x:v>0.8999999999999999</x:v>
      </x:c>
    </x:row>
    <x:row r="91">
      <x:c r="A91" s="84" t="str">
        <x:v>New managed accounts</x:v>
      </x:c>
      <x:c r="B91" s="84" t="str">
        <x:v>count</x:v>
      </x:c>
      <x:c r="C91" s="113" t="n">
        <x:f>0</x:f>
        <x:v>0</x:v>
      </x:c>
      <x:c r="D91" s="113" t="n">
        <x:f>C90*'Scenarios'!$D$18</x:f>
        <x:v>0</x:v>
      </x:c>
      <x:c r="E91" s="113" t="n">
        <x:f>D90*'Scenarios'!$D$18</x:f>
        <x:v>0.14850000000000002</x:v>
      </x:c>
      <x:c r="F91" s="113" t="n">
        <x:f>E90*'Scenarios'!$D$18</x:f>
        <x:v>0.14850000000000002</x:v>
      </x:c>
      <x:c r="G91" s="113" t="n">
        <x:f>F90*'Scenarios'!$D$18</x:f>
        <x:v>0.14850000000000002</x:v>
      </x:c>
      <x:c r="H91" s="113" t="n">
        <x:f>G90*'Scenarios'!$D$18</x:f>
        <x:v>0.3015</x:v>
      </x:c>
      <x:c r="I91" s="113" t="n">
        <x:f>H90*'Scenarios'!$D$18</x:f>
        <x:v>0.3015</x:v>
      </x:c>
      <x:c r="J91" s="113" t="n">
        <x:f>I90*'Scenarios'!$D$18</x:f>
        <x:v>0.3015</x:v>
      </x:c>
      <x:c r="K91" s="113" t="n">
        <x:f>J90*'Scenarios'!$D$18</x:f>
        <x:v>0.3015</x:v>
      </x:c>
      <x:c r="L91" s="113" t="n">
        <x:f>K90*'Scenarios'!$D$18</x:f>
        <x:v>0.3015</x:v>
      </x:c>
      <x:c r="M91" s="113" t="n">
        <x:f>L90*'Scenarios'!$D$18</x:f>
        <x:v>0.3015</x:v>
      </x:c>
      <x:c r="N91" s="113" t="n">
        <x:f>M90*'Scenarios'!$D$18</x:f>
        <x:v>0.3015</x:v>
      </x:c>
      <x:c r="O91" s="113" t="n">
        <x:f>N90*'Scenarios'!$D$18</x:f>
        <x:v>0.3015</x:v>
      </x:c>
      <x:c r="P91" s="113" t="n">
        <x:f>O90*'Scenarios'!$D$18</x:f>
        <x:v>0.3015</x:v>
      </x:c>
      <x:c r="Q91" s="113" t="n">
        <x:f>P90*'Scenarios'!$D$18</x:f>
        <x:v>0.44999999999999996</x:v>
      </x:c>
      <x:c r="R91" s="113" t="n">
        <x:f>Q90*'Scenarios'!$D$18</x:f>
        <x:v>0.44999999999999996</x:v>
      </x:c>
      <x:c r="S91" s="113" t="n">
        <x:f>R90*'Scenarios'!$D$18</x:f>
        <x:v>0.44999999999999996</x:v>
      </x:c>
      <x:c r="T91" s="113" t="n">
        <x:f>S90*'Scenarios'!$D$18</x:f>
        <x:v>0.44999999999999996</x:v>
      </x:c>
      <x:c r="U91" s="113" t="n">
        <x:f>T90*'Scenarios'!$D$18</x:f>
        <x:v>0.44999999999999996</x:v>
      </x:c>
      <x:c r="V91" s="113" t="n">
        <x:f>U90*'Scenarios'!$D$18</x:f>
        <x:v>0.44999999999999996</x:v>
      </x:c>
      <x:c r="W91" s="113" t="n">
        <x:f>V90*'Scenarios'!$D$18</x:f>
        <x:v>0.5625</x:v>
      </x:c>
      <x:c r="X91" s="113" t="n">
        <x:f>W90*'Scenarios'!$D$18</x:f>
        <x:v>0.5625</x:v>
      </x:c>
      <x:c r="Y91" s="113" t="n">
        <x:f>X90*'Scenarios'!$D$18</x:f>
        <x:v>0.5625</x:v>
      </x:c>
      <x:c r="Z91" s="113" t="n">
        <x:f>Y90*'Scenarios'!$D$18</x:f>
        <x:v>0.5625</x:v>
      </x:c>
      <x:c r="AA91" s="113" t="n">
        <x:f>Z90*'Scenarios'!$D$18</x:f>
        <x:v>0.5625</x:v>
      </x:c>
      <x:c r="AB91" s="113" t="n">
        <x:f>AA90*'Scenarios'!$D$18</x:f>
        <x:v>0.5625</x:v>
      </x:c>
      <x:c r="AC91" s="113" t="n">
        <x:f>AB90*'Scenarios'!$D$18</x:f>
        <x:v>0.6749999999999999</x:v>
      </x:c>
      <x:c r="AD91" s="113" t="n">
        <x:f>AC90*'Scenarios'!$D$18</x:f>
        <x:v>0.6749999999999999</x:v>
      </x:c>
      <x:c r="AE91" s="113" t="n">
        <x:f>AD90*'Scenarios'!$D$18</x:f>
        <x:v>0.6749999999999999</x:v>
      </x:c>
      <x:c r="AF91" s="113" t="n">
        <x:f>AE90*'Scenarios'!$D$18</x:f>
        <x:v>0.6749999999999999</x:v>
      </x:c>
      <x:c r="AG91" s="113" t="n">
        <x:f>AF90*'Scenarios'!$D$18</x:f>
        <x:v>0.6749999999999999</x:v>
      </x:c>
      <x:c r="AH91" s="113" t="n">
        <x:f>AG90*'Scenarios'!$D$18</x:f>
        <x:v>0.6749999999999999</x:v>
      </x:c>
      <x:c r="AI91" s="113" t="n">
        <x:f>AH90*'Scenarios'!$D$18</x:f>
        <x:v>0.6749999999999999</x:v>
      </x:c>
      <x:c r="AJ91" s="113" t="n">
        <x:f>AI90*'Scenarios'!$D$18</x:f>
        <x:v>0.6749999999999999</x:v>
      </x:c>
      <x:c r="AK91" s="113" t="n">
        <x:f>AJ90*'Scenarios'!$D$18</x:f>
        <x:v>0.6749999999999999</x:v>
      </x:c>
      <x:c r="AL91" s="113" t="n">
        <x:f>AK90*'Scenarios'!$D$18</x:f>
        <x:v>0.6749999999999999</x:v>
      </x:c>
    </x:row>
    <x:row r="92">
      <x:c r="A92" s="84" t="str">
        <x:v>Churned accounts</x:v>
      </x:c>
      <x:c r="B92" s="84" t="str">
        <x:v>count</x:v>
      </x:c>
      <x:c r="C92" s="113" t="n">
        <x:f>0</x:f>
        <x:v>0</x:v>
      </x:c>
      <x:c r="D92" s="113" t="n">
        <x:f>C93*'Scenarios'!$D$8</x:f>
        <x:v>0</x:v>
      </x:c>
      <x:c r="E92" s="113" t="n">
        <x:f>D93*'Scenarios'!$D$8</x:f>
        <x:v>0</x:v>
      </x:c>
      <x:c r="F92" s="113" t="n">
        <x:f>E93*'Scenarios'!$D$8</x:f>
        <x:v>0.0022275000000000003</x:v>
      </x:c>
      <x:c r="G92" s="113" t="n">
        <x:f>F93*'Scenarios'!$D$8</x:f>
        <x:v>0.004421587500000001</x:v>
      </x:c>
      <x:c r="H92" s="113" t="n">
        <x:f>G93*'Scenarios'!$D$8</x:f>
        <x:v>0.006582763687500001</x:v>
      </x:c>
      <x:c r="I92" s="113" t="n">
        <x:f>H93*'Scenarios'!$D$8</x:f>
        <x:v>0.011006522232187501</x:v>
      </x:c>
      <x:c r="J92" s="113" t="n">
        <x:f>I93*'Scenarios'!$D$8</x:f>
        <x:v>0.015363924398704688</x:v>
      </x:c>
      <x:c r="K92" s="113" t="n">
        <x:f>J93*'Scenarios'!$D$8</x:f>
        <x:v>0.01965596553272412</x:v>
      </x:c>
      <x:c r="L92" s="113" t="n">
        <x:f>K93*'Scenarios'!$D$8</x:f>
        <x:v>0.023883626049733254</x:v>
      </x:c>
      <x:c r="M92" s="113" t="n">
        <x:f>L93*'Scenarios'!$D$8</x:f>
        <x:v>0.028047871658987256</x:v>
      </x:c>
      <x:c r="N92" s="113" t="n">
        <x:f>M93*'Scenarios'!$D$8</x:f>
        <x:v>0.03214965358410245</x:v>
      </x:c>
      <x:c r="O92" s="113" t="n">
        <x:f>N93*'Scenarios'!$D$8</x:f>
        <x:v>0.03618990878034091</x:v>
      </x:c>
      <x:c r="P92" s="113" t="n">
        <x:f>O93*'Scenarios'!$D$8</x:f>
        <x:v>0.04016956014863579</x:v>
      </x:c>
      <x:c r="Q92" s="113" t="n">
        <x:f>P93*'Scenarios'!$D$8</x:f>
        <x:v>0.04408951674640626</x:v>
      </x:c>
      <x:c r="R92" s="113" t="n">
        <x:f>Q93*'Scenarios'!$D$8</x:f>
        <x:v>0.050178173995210164</x:v>
      </x:c>
      <x:c r="S92" s="113" t="n">
        <x:f>R93*'Scenarios'!$D$8</x:f>
        <x:v>0.05617550138528201</x:v>
      </x:c>
      <x:c r="T92" s="113" t="n">
        <x:f>S93*'Scenarios'!$D$8</x:f>
        <x:v>0.06208286886450278</x:v>
      </x:c>
      <x:c r="U92" s="113" t="n">
        <x:f>T93*'Scenarios'!$D$8</x:f>
        <x:v>0.06790162583153524</x:v>
      </x:c>
      <x:c r="V92" s="113" t="n">
        <x:f>U93*'Scenarios'!$D$8</x:f>
        <x:v>0.07363310144406221</x:v>
      </x:c>
      <x:c r="W92" s="113" t="n">
        <x:f>V93*'Scenarios'!$D$8</x:f>
        <x:v>0.07927860492240128</x:v>
      </x:c>
      <x:c r="X92" s="113" t="n">
        <x:f>W93*'Scenarios'!$D$8</x:f>
        <x:v>0.08652692584856526</x:v>
      </x:c>
      <x:c r="Y92" s="113" t="n">
        <x:f>X93*'Scenarios'!$D$8</x:f>
        <x:v>0.09366652196083679</x:v>
      </x:c>
      <x:c r="Z92" s="113" t="n">
        <x:f>Y93*'Scenarios'!$D$8</x:f>
        <x:v>0.10069902413142423</x:v>
      </x:c>
      <x:c r="AA92" s="113" t="n">
        <x:f>Z93*'Scenarios'!$D$8</x:f>
        <x:v>0.10762603876945286</x:v>
      </x:c>
      <x:c r="AB92" s="113" t="n">
        <x:f>AA93*'Scenarios'!$D$8</x:f>
        <x:v>0.11444914818791106</x:v>
      </x:c>
      <x:c r="AC92" s="113" t="n">
        <x:f>AB93*'Scenarios'!$D$8</x:f>
        <x:v>0.12116991096509239</x:v>
      </x:c>
      <x:c r="AD92" s="113" t="n">
        <x:f>AC93*'Scenarios'!$D$8</x:f>
        <x:v>0.129477362300616</x:v>
      </x:c>
      <x:c r="AE92" s="113" t="n">
        <x:f>AD93*'Scenarios'!$D$8</x:f>
        <x:v>0.13766020186610675</x:v>
      </x:c>
      <x:c r="AF92" s="113" t="n">
        <x:f>AE93*'Scenarios'!$D$8</x:f>
        <x:v>0.1457202988381152</x:v>
      </x:c>
      <x:c r="AG92" s="113" t="n">
        <x:f>AF93*'Scenarios'!$D$8</x:f>
        <x:v>0.15365949435554344</x:v>
      </x:c>
      <x:c r="AH92" s="113" t="n">
        <x:f>AG93*'Scenarios'!$D$8</x:f>
        <x:v>0.1614796019402103</x:v>
      </x:c>
      <x:c r="AI92" s="113" t="n">
        <x:f>AH93*'Scenarios'!$D$8</x:f>
        <x:v>0.16918240791110717</x:v>
      </x:c>
      <x:c r="AJ92" s="113" t="n">
        <x:f>AI93*'Scenarios'!$D$8</x:f>
        <x:v>0.17676967179244057</x:v>
      </x:c>
      <x:c r="AK92" s="113" t="n">
        <x:f>AJ93*'Scenarios'!$D$8</x:f>
        <x:v>0.18424312671555396</x:v>
      </x:c>
      <x:c r="AL92" s="113" t="n">
        <x:f>AK93*'Scenarios'!$D$8</x:f>
        <x:v>0.19160447981482068</x:v>
      </x:c>
    </x:row>
    <x:row r="93">
      <x:c r="A93" s="84" t="str">
        <x:v>Active managed accounts</x:v>
      </x:c>
      <x:c r="B93" s="84" t="str">
        <x:v>count</x:v>
      </x:c>
      <x:c r="C93" s="113" t="n">
        <x:f>C91</x:f>
        <x:v>0</x:v>
      </x:c>
      <x:c r="D93" s="113" t="n">
        <x:f>C93-D92+D91</x:f>
        <x:v>0</x:v>
      </x:c>
      <x:c r="E93" s="113" t="n">
        <x:f>D93-E92+E91</x:f>
        <x:v>0.14850000000000002</x:v>
      </x:c>
      <x:c r="F93" s="113" t="n">
        <x:f>E93-F92+F91</x:f>
        <x:v>0.29477250000000005</x:v>
      </x:c>
      <x:c r="G93" s="113" t="n">
        <x:f>F93-G92+G91</x:f>
        <x:v>0.4388509125000001</x:v>
      </x:c>
      <x:c r="H93" s="113" t="n">
        <x:f>G93-H92+H91</x:f>
        <x:v>0.7337681488125001</x:v>
      </x:c>
      <x:c r="I93" s="113" t="n">
        <x:f>H93-I92+I91</x:f>
        <x:v>1.0242616265803126</x:v>
      </x:c>
      <x:c r="J93" s="113" t="n">
        <x:f>I93-J92+J91</x:f>
        <x:v>1.310397702181608</x:v>
      </x:c>
      <x:c r="K93" s="113" t="n">
        <x:f>J93-K92+K91</x:f>
        <x:v>1.5922417366488837</x:v>
      </x:c>
      <x:c r="L93" s="113" t="n">
        <x:f>K93-L92+L91</x:f>
        <x:v>1.8698581105991505</x:v>
      </x:c>
      <x:c r="M93" s="113" t="n">
        <x:f>L93-M92+M91</x:f>
        <x:v>2.1433102389401633</x:v>
      </x:c>
      <x:c r="N93" s="113" t="n">
        <x:f>M93-N92+N91</x:f>
        <x:v>2.4126605853560608</x:v>
      </x:c>
      <x:c r="O93" s="113" t="n">
        <x:f>N93-O92+O91</x:f>
        <x:v>2.6779706765757196</x:v>
      </x:c>
      <x:c r="P93" s="113" t="n">
        <x:f>O93-P92+P91</x:f>
        <x:v>2.939301116427084</x:v>
      </x:c>
      <x:c r="Q93" s="113" t="n">
        <x:f>P93-Q92+Q91</x:f>
        <x:v>3.3452115996806775</x:v>
      </x:c>
      <x:c r="R93" s="113" t="n">
        <x:f>Q93-R92+R91</x:f>
        <x:v>3.7450334256854676</x:v>
      </x:c>
      <x:c r="S93" s="113" t="n">
        <x:f>R93-S92+S91</x:f>
        <x:v>4.1388579243001855</x:v>
      </x:c>
      <x:c r="T93" s="113" t="n">
        <x:f>S93-T92+T91</x:f>
        <x:v>4.5267750554356825</x:v>
      </x:c>
      <x:c r="U93" s="113" t="n">
        <x:f>T93-U92+U91</x:f>
        <x:v>4.908873429604148</x:v>
      </x:c>
      <x:c r="V93" s="113" t="n">
        <x:f>U93-V92+V91</x:f>
        <x:v>5.285240328160086</x:v>
      </x:c>
      <x:c r="W93" s="113" t="n">
        <x:f>V93-W92+W91</x:f>
        <x:v>5.768461723237684</x:v>
      </x:c>
      <x:c r="X93" s="113" t="n">
        <x:f>W93-X92+X91</x:f>
        <x:v>6.244434797389119</x:v>
      </x:c>
      <x:c r="Y93" s="113" t="n">
        <x:f>X93-Y92+Y91</x:f>
        <x:v>6.713268275428282</x:v>
      </x:c>
      <x:c r="Z93" s="113" t="n">
        <x:f>Y93-Z92+Z91</x:f>
        <x:v>7.175069251296858</x:v>
      </x:c>
      <x:c r="AA93" s="113" t="n">
        <x:f>Z93-AA92+AA91</x:f>
        <x:v>7.6299432125274045</x:v>
      </x:c>
      <x:c r="AB93" s="113" t="n">
        <x:f>AA93-AB92+AB91</x:f>
        <x:v>8.077994064339492</x:v>
      </x:c>
      <x:c r="AC93" s="113" t="n">
        <x:f>AB93-AC92+AC91</x:f>
        <x:v>8.6318241533744</x:v>
      </x:c>
      <x:c r="AD93" s="113" t="n">
        <x:f>AC93-AD92+AD91</x:f>
        <x:v>9.177346791073784</x:v>
      </x:c>
      <x:c r="AE93" s="113" t="n">
        <x:f>AD93-AE92+AE91</x:f>
        <x:v>9.714686589207679</x:v>
      </x:c>
      <x:c r="AF93" s="113" t="n">
        <x:f>AE93-AF92+AF91</x:f>
        <x:v>10.243966290369563</x:v>
      </x:c>
      <x:c r="AG93" s="113" t="n">
        <x:f>AF93-AG92+AG91</x:f>
        <x:v>10.76530679601402</x:v>
      </x:c>
      <x:c r="AH93" s="113" t="n">
        <x:f>AG93-AH92+AH91</x:f>
        <x:v>11.278827194073811</x:v>
      </x:c>
      <x:c r="AI93" s="113" t="n">
        <x:f>AH93-AI92+AI91</x:f>
        <x:v>11.784644786162705</x:v>
      </x:c>
      <x:c r="AJ93" s="113" t="n">
        <x:f>AI93-AJ92+AJ91</x:f>
        <x:v>12.282875114370265</x:v>
      </x:c>
      <x:c r="AK93" s="113" t="n">
        <x:f>AJ93-AK92+AK91</x:f>
        <x:v>12.773631987654712</x:v>
      </x:c>
      <x:c r="AL93" s="113" t="n">
        <x:f>AK93-AL92+AL91</x:f>
        <x:v>13.257027507839892</x:v>
      </x:c>
    </x:row>
    <x:row r="94">
      <x:c r="A94" s="84" t="str">
        <x:v>Core active accounts</x:v>
      </x:c>
      <x:c r="B94" s="84" t="str">
        <x:v>count</x:v>
      </x:c>
      <x:c r="C94" s="113" t="n">
        <x:f>C93*'Scenarios'!$D$14</x:f>
        <x:v>0</x:v>
      </x:c>
      <x:c r="D94" s="113" t="n">
        <x:f>D93*'Scenarios'!$D$14</x:f>
        <x:v>0</x:v>
      </x:c>
      <x:c r="E94" s="113" t="n">
        <x:f>E93*'Scenarios'!$D$14</x:f>
        <x:v>0.037125000000000005</x:v>
      </x:c>
      <x:c r="F94" s="113" t="n">
        <x:f>F93*'Scenarios'!$D$14</x:f>
        <x:v>0.07369312500000001</x:v>
      </x:c>
      <x:c r="G94" s="113" t="n">
        <x:f>G93*'Scenarios'!$D$14</x:f>
        <x:v>0.10971272812500002</x:v>
      </x:c>
      <x:c r="H94" s="113" t="n">
        <x:f>H93*'Scenarios'!$D$14</x:f>
        <x:v>0.18344203720312502</x:v>
      </x:c>
      <x:c r="I94" s="113" t="n">
        <x:f>I93*'Scenarios'!$D$14</x:f>
        <x:v>0.25606540664507815</x:v>
      </x:c>
      <x:c r="J94" s="113" t="n">
        <x:f>J93*'Scenarios'!$D$14</x:f>
        <x:v>0.327599425545402</x:v>
      </x:c>
      <x:c r="K94" s="113" t="n">
        <x:f>K93*'Scenarios'!$D$14</x:f>
        <x:v>0.3980604341622209</x:v>
      </x:c>
      <x:c r="L94" s="113" t="n">
        <x:f>L93*'Scenarios'!$D$14</x:f>
        <x:v>0.46746452764978763</x:v>
      </x:c>
      <x:c r="M94" s="113" t="n">
        <x:f>M93*'Scenarios'!$D$14</x:f>
        <x:v>0.5358275597350408</x:v>
      </x:c>
      <x:c r="N94" s="113" t="n">
        <x:f>N93*'Scenarios'!$D$14</x:f>
        <x:v>0.6031651463390152</x:v>
      </x:c>
      <x:c r="O94" s="113" t="n">
        <x:f>O93*'Scenarios'!$D$14</x:f>
        <x:v>0.6694926691439299</x:v>
      </x:c>
      <x:c r="P94" s="113" t="n">
        <x:f>P93*'Scenarios'!$D$14</x:f>
        <x:v>0.734825279106771</x:v>
      </x:c>
      <x:c r="Q94" s="113" t="n">
        <x:f>Q93*'Scenarios'!$D$14</x:f>
        <x:v>0.8363028999201694</x:v>
      </x:c>
      <x:c r="R94" s="113" t="n">
        <x:f>R93*'Scenarios'!$D$14</x:f>
        <x:v>0.9362583564213669</x:v>
      </x:c>
      <x:c r="S94" s="113" t="n">
        <x:f>S93*'Scenarios'!$D$14</x:f>
        <x:v>1.0347144810750464</x:v>
      </x:c>
      <x:c r="T94" s="113" t="n">
        <x:f>T93*'Scenarios'!$D$14</x:f>
        <x:v>1.1316937638589206</x:v>
      </x:c>
      <x:c r="U94" s="113" t="n">
        <x:f>U93*'Scenarios'!$D$14</x:f>
        <x:v>1.227218357401037</x:v>
      </x:c>
      <x:c r="V94" s="113" t="n">
        <x:f>V93*'Scenarios'!$D$14</x:f>
        <x:v>1.3213100820400214</x:v>
      </x:c>
      <x:c r="W94" s="113" t="n">
        <x:f>W93*'Scenarios'!$D$14</x:f>
        <x:v>1.442115430809421</x:v>
      </x:c>
      <x:c r="X94" s="113" t="n">
        <x:f>X93*'Scenarios'!$D$14</x:f>
        <x:v>1.5611086993472798</x:v>
      </x:c>
      <x:c r="Y94" s="113" t="n">
        <x:f>Y93*'Scenarios'!$D$14</x:f>
        <x:v>1.6783170688570705</x:v>
      </x:c>
      <x:c r="Z94" s="113" t="n">
        <x:f>Z93*'Scenarios'!$D$14</x:f>
        <x:v>1.7937673128242144</x:v>
      </x:c>
      <x:c r="AA94" s="113" t="n">
        <x:f>AA93*'Scenarios'!$D$14</x:f>
        <x:v>1.9074858031318511</x:v>
      </x:c>
      <x:c r="AB94" s="113" t="n">
        <x:f>AB93*'Scenarios'!$D$14</x:f>
        <x:v>2.019498516084873</x:v>
      </x:c>
      <x:c r="AC94" s="113" t="n">
        <x:f>AC93*'Scenarios'!$D$14</x:f>
        <x:v>2.1579560383436</x:v>
      </x:c>
      <x:c r="AD94" s="113" t="n">
        <x:f>AD93*'Scenarios'!$D$14</x:f>
        <x:v>2.294336697768446</x:v>
      </x:c>
      <x:c r="AE94" s="113" t="n">
        <x:f>AE93*'Scenarios'!$D$14</x:f>
        <x:v>2.4286716473019196</x:v>
      </x:c>
      <x:c r="AF94" s="113" t="n">
        <x:f>AF93*'Scenarios'!$D$14</x:f>
        <x:v>2.560991572592391</x:v>
      </x:c>
      <x:c r="AG94" s="113" t="n">
        <x:f>AG93*'Scenarios'!$D$14</x:f>
        <x:v>2.691326699003505</x:v>
      </x:c>
      <x:c r="AH94" s="113" t="n">
        <x:f>AH93*'Scenarios'!$D$14</x:f>
        <x:v>2.8197067985184527</x:v>
      </x:c>
      <x:c r="AI94" s="113" t="n">
        <x:f>AI93*'Scenarios'!$D$14</x:f>
        <x:v>2.946161196540676</x:v>
      </x:c>
      <x:c r="AJ94" s="113" t="n">
        <x:f>AJ93*'Scenarios'!$D$14</x:f>
        <x:v>3.0707187785925663</x:v>
      </x:c>
      <x:c r="AK94" s="113" t="n">
        <x:f>AK93*'Scenarios'!$D$14</x:f>
        <x:v>3.193407996913678</x:v>
      </x:c>
      <x:c r="AL94" s="113" t="n">
        <x:f>AL93*'Scenarios'!$D$14</x:f>
        <x:v>3.314256876959973</x:v>
      </x:c>
    </x:row>
    <x:row r="95">
      <x:c r="A95" s="84" t="str">
        <x:v>Operate active accounts</x:v>
      </x:c>
      <x:c r="B95" s="84" t="str">
        <x:v>count</x:v>
      </x:c>
      <x:c r="C95" s="113" t="n">
        <x:f>C93*'Scenarios'!$D$15</x:f>
        <x:v>0</x:v>
      </x:c>
      <x:c r="D95" s="113" t="n">
        <x:f>D93*'Scenarios'!$D$15</x:f>
        <x:v>0</x:v>
      </x:c>
      <x:c r="E95" s="113" t="n">
        <x:f>E93*'Scenarios'!$D$15</x:f>
        <x:v>0.08910000000000001</x:v>
      </x:c>
      <x:c r="F95" s="113" t="n">
        <x:f>F93*'Scenarios'!$D$15</x:f>
        <x:v>0.17686350000000003</x:v>
      </x:c>
      <x:c r="G95" s="113" t="n">
        <x:f>G93*'Scenarios'!$D$15</x:f>
        <x:v>0.26331054750000005</x:v>
      </x:c>
      <x:c r="H95" s="113" t="n">
        <x:f>H93*'Scenarios'!$D$15</x:f>
        <x:v>0.4402608892875</x:v>
      </x:c>
      <x:c r="I95" s="113" t="n">
        <x:f>I93*'Scenarios'!$D$15</x:f>
        <x:v>0.6145569759481876</x:v>
      </x:c>
      <x:c r="J95" s="113" t="n">
        <x:f>J93*'Scenarios'!$D$15</x:f>
        <x:v>0.7862386213089648</x:v>
      </x:c>
      <x:c r="K95" s="113" t="n">
        <x:f>K93*'Scenarios'!$D$15</x:f>
        <x:v>0.9553450419893301</x:v>
      </x:c>
      <x:c r="L95" s="113" t="n">
        <x:f>L93*'Scenarios'!$D$15</x:f>
        <x:v>1.1219148663594902</x:v>
      </x:c>
      <x:c r="M95" s="113" t="n">
        <x:f>M93*'Scenarios'!$D$15</x:f>
        <x:v>1.285986143364098</x:v>
      </x:c>
      <x:c r="N95" s="113" t="n">
        <x:f>N93*'Scenarios'!$D$15</x:f>
        <x:v>1.4475963512136365</x:v>
      </x:c>
      <x:c r="O95" s="113" t="n">
        <x:f>O93*'Scenarios'!$D$15</x:f>
        <x:v>1.6067824059454316</x:v>
      </x:c>
      <x:c r="P95" s="113" t="n">
        <x:f>P93*'Scenarios'!$D$15</x:f>
        <x:v>1.7635806698562504</x:v>
      </x:c>
      <x:c r="Q95" s="113" t="n">
        <x:f>Q93*'Scenarios'!$D$15</x:f>
        <x:v>2.0071269598084065</x:v>
      </x:c>
      <x:c r="R95" s="113" t="n">
        <x:f>R93*'Scenarios'!$D$15</x:f>
        <x:v>2.2470200554112805</x:v>
      </x:c>
      <x:c r="S95" s="113" t="n">
        <x:f>S93*'Scenarios'!$D$15</x:f>
        <x:v>2.4833147545801113</x:v>
      </x:c>
      <x:c r="T95" s="113" t="n">
        <x:f>T93*'Scenarios'!$D$15</x:f>
        <x:v>2.7160650332614096</x:v>
      </x:c>
      <x:c r="U95" s="113" t="n">
        <x:f>U93*'Scenarios'!$D$15</x:f>
        <x:v>2.9453240577624884</x:v>
      </x:c>
      <x:c r="V95" s="113" t="n">
        <x:f>V93*'Scenarios'!$D$15</x:f>
        <x:v>3.1711441968960514</x:v>
      </x:c>
      <x:c r="W95" s="113" t="n">
        <x:f>W93*'Scenarios'!$D$15</x:f>
        <x:v>3.4610770339426105</x:v>
      </x:c>
      <x:c r="X95" s="113" t="n">
        <x:f>X93*'Scenarios'!$D$15</x:f>
        <x:v>3.746660878433471</x:v>
      </x:c>
      <x:c r="Y95" s="113" t="n">
        <x:f>Y93*'Scenarios'!$D$15</x:f>
        <x:v>4.027960965256969</x:v>
      </x:c>
      <x:c r="Z95" s="113" t="n">
        <x:f>Z93*'Scenarios'!$D$15</x:f>
        <x:v>4.305041550778115</x:v>
      </x:c>
      <x:c r="AA95" s="113" t="n">
        <x:f>AA93*'Scenarios'!$D$15</x:f>
        <x:v>4.577965927516442</x:v>
      </x:c>
      <x:c r="AB95" s="113" t="n">
        <x:f>AB93*'Scenarios'!$D$15</x:f>
        <x:v>4.846796438603695</x:v>
      </x:c>
      <x:c r="AC95" s="113" t="n">
        <x:f>AC93*'Scenarios'!$D$15</x:f>
        <x:v>5.17909449202464</x:v>
      </x:c>
      <x:c r="AD95" s="113" t="n">
        <x:f>AD93*'Scenarios'!$D$15</x:f>
        <x:v>5.506408074644271</x:v>
      </x:c>
      <x:c r="AE95" s="113" t="n">
        <x:f>AE93*'Scenarios'!$D$15</x:f>
        <x:v>5.828811953524607</x:v>
      </x:c>
      <x:c r="AF95" s="113" t="n">
        <x:f>AF93*'Scenarios'!$D$15</x:f>
        <x:v>6.146379774221738</x:v>
      </x:c>
      <x:c r="AG95" s="113" t="n">
        <x:f>AG93*'Scenarios'!$D$15</x:f>
        <x:v>6.459184077608412</x:v>
      </x:c>
      <x:c r="AH95" s="113" t="n">
        <x:f>AH93*'Scenarios'!$D$15</x:f>
        <x:v>6.767296316444287</x:v>
      </x:c>
      <x:c r="AI95" s="113" t="n">
        <x:f>AI93*'Scenarios'!$D$15</x:f>
        <x:v>7.0707868716976225</x:v>
      </x:c>
      <x:c r="AJ95" s="113" t="n">
        <x:f>AJ93*'Scenarios'!$D$15</x:f>
        <x:v>7.3697250686221585</x:v>
      </x:c>
      <x:c r="AK95" s="113" t="n">
        <x:f>AK93*'Scenarios'!$D$15</x:f>
        <x:v>7.664179192592827</x:v>
      </x:c>
      <x:c r="AL95" s="113" t="n">
        <x:f>AL93*'Scenarios'!$D$15</x:f>
        <x:v>7.954216504703934</x:v>
      </x:c>
    </x:row>
    <x:row r="96">
      <x:c r="A96" s="84" t="str">
        <x:v>Scale active accounts</x:v>
      </x:c>
      <x:c r="B96" s="84" t="str">
        <x:v>count</x:v>
      </x:c>
      <x:c r="C96" s="113" t="n">
        <x:f>C93*'Scenarios'!$D$16</x:f>
        <x:v>0</x:v>
      </x:c>
      <x:c r="D96" s="113" t="n">
        <x:f>D93*'Scenarios'!$D$16</x:f>
        <x:v>0</x:v>
      </x:c>
      <x:c r="E96" s="113" t="n">
        <x:f>E93*'Scenarios'!$D$16</x:f>
        <x:v>0.022275000000000003</x:v>
      </x:c>
      <x:c r="F96" s="113" t="n">
        <x:f>F93*'Scenarios'!$D$16</x:f>
        <x:v>0.04421587500000001</x:v>
      </x:c>
      <x:c r="G96" s="113" t="n">
        <x:f>G93*'Scenarios'!$D$16</x:f>
        <x:v>0.06582763687500001</x:v>
      </x:c>
      <x:c r="H96" s="113" t="n">
        <x:f>H93*'Scenarios'!$D$16</x:f>
        <x:v>0.110065222321875</x:v>
      </x:c>
      <x:c r="I96" s="113" t="n">
        <x:f>I93*'Scenarios'!$D$16</x:f>
        <x:v>0.1536392439870469</x:v>
      </x:c>
      <x:c r="J96" s="113" t="n">
        <x:f>J93*'Scenarios'!$D$16</x:f>
        <x:v>0.1965596553272412</x:v>
      </x:c>
      <x:c r="K96" s="113" t="n">
        <x:f>K93*'Scenarios'!$D$16</x:f>
        <x:v>0.23883626049733253</x:v>
      </x:c>
      <x:c r="L96" s="113" t="n">
        <x:f>L93*'Scenarios'!$D$16</x:f>
        <x:v>0.28047871658987256</x:v>
      </x:c>
      <x:c r="M96" s="113" t="n">
        <x:f>M93*'Scenarios'!$D$16</x:f>
        <x:v>0.3214965358410245</x:v>
      </x:c>
      <x:c r="N96" s="113" t="n">
        <x:f>N93*'Scenarios'!$D$16</x:f>
        <x:v>0.3618990878034091</x:v>
      </x:c>
      <x:c r="O96" s="113" t="n">
        <x:f>O93*'Scenarios'!$D$16</x:f>
        <x:v>0.4016956014863579</x:v>
      </x:c>
      <x:c r="P96" s="113" t="n">
        <x:f>P93*'Scenarios'!$D$16</x:f>
        <x:v>0.4408951674640626</x:v>
      </x:c>
      <x:c r="Q96" s="113" t="n">
        <x:f>Q93*'Scenarios'!$D$16</x:f>
        <x:v>0.5017817399521016</x:v>
      </x:c>
      <x:c r="R96" s="113" t="n">
        <x:f>R93*'Scenarios'!$D$16</x:f>
        <x:v>0.5617550138528201</x:v>
      </x:c>
      <x:c r="S96" s="113" t="n">
        <x:f>S93*'Scenarios'!$D$16</x:f>
        <x:v>0.6208286886450278</x:v>
      </x:c>
      <x:c r="T96" s="113" t="n">
        <x:f>T93*'Scenarios'!$D$16</x:f>
        <x:v>0.6790162583153524</x:v>
      </x:c>
      <x:c r="U96" s="113" t="n">
        <x:f>U93*'Scenarios'!$D$16</x:f>
        <x:v>0.7363310144406221</x:v>
      </x:c>
      <x:c r="V96" s="113" t="n">
        <x:f>V93*'Scenarios'!$D$16</x:f>
        <x:v>0.7927860492240129</x:v>
      </x:c>
      <x:c r="W96" s="113" t="n">
        <x:f>W93*'Scenarios'!$D$16</x:f>
        <x:v>0.8652692584856526</x:v>
      </x:c>
      <x:c r="X96" s="113" t="n">
        <x:f>X93*'Scenarios'!$D$16</x:f>
        <x:v>0.9366652196083678</x:v>
      </x:c>
      <x:c r="Y96" s="113" t="n">
        <x:f>Y93*'Scenarios'!$D$16</x:f>
        <x:v>1.0069902413142422</x:v>
      </x:c>
      <x:c r="Z96" s="113" t="n">
        <x:f>Z93*'Scenarios'!$D$16</x:f>
        <x:v>1.0762603876945287</x:v>
      </x:c>
      <x:c r="AA96" s="113" t="n">
        <x:f>AA93*'Scenarios'!$D$16</x:f>
        <x:v>1.1444914818791105</x:v>
      </x:c>
      <x:c r="AB96" s="113" t="n">
        <x:f>AB93*'Scenarios'!$D$16</x:f>
        <x:v>1.2116991096509238</x:v>
      </x:c>
      <x:c r="AC96" s="113" t="n">
        <x:f>AC93*'Scenarios'!$D$16</x:f>
        <x:v>1.29477362300616</x:v>
      </x:c>
      <x:c r="AD96" s="113" t="n">
        <x:f>AD93*'Scenarios'!$D$16</x:f>
        <x:v>1.3766020186610677</x:v>
      </x:c>
      <x:c r="AE96" s="113" t="n">
        <x:f>AE93*'Scenarios'!$D$16</x:f>
        <x:v>1.4572029883811517</x:v>
      </x:c>
      <x:c r="AF96" s="113" t="n">
        <x:f>AF93*'Scenarios'!$D$16</x:f>
        <x:v>1.5365949435554345</x:v>
      </x:c>
      <x:c r="AG96" s="113" t="n">
        <x:f>AG93*'Scenarios'!$D$16</x:f>
        <x:v>1.614796019402103</x:v>
      </x:c>
      <x:c r="AH96" s="113" t="n">
        <x:f>AH93*'Scenarios'!$D$16</x:f>
        <x:v>1.6918240791110717</x:v>
      </x:c>
      <x:c r="AI96" s="113" t="n">
        <x:f>AI93*'Scenarios'!$D$16</x:f>
        <x:v>1.7676967179244056</x:v>
      </x:c>
      <x:c r="AJ96" s="113" t="n">
        <x:f>AJ93*'Scenarios'!$D$16</x:f>
        <x:v>1.8424312671555396</x:v>
      </x:c>
      <x:c r="AK96" s="113" t="n">
        <x:f>AK93*'Scenarios'!$D$16</x:f>
        <x:v>1.9160447981482067</x:v>
      </x:c>
      <x:c r="AL96" s="113" t="n">
        <x:f>AL93*'Scenarios'!$D$16</x:f>
        <x:v>1.9885541261759836</x:v>
      </x:c>
    </x:row>
    <x:row r="97">
      <x:c r="A97" s="84" t="str">
        <x:v>Expansion projects</x:v>
      </x:c>
      <x:c r="B97" s="84" t="str">
        <x:v>count</x:v>
      </x:c>
      <x:c r="C97" s="113" t="n">
        <x:f>C93*'Scenarios'!$D$19/12</x:f>
        <x:v>0</x:v>
      </x:c>
      <x:c r="D97" s="113" t="n">
        <x:f>D93*'Scenarios'!$D$19/12</x:f>
        <x:v>0</x:v>
      </x:c>
      <x:c r="E97" s="113" t="n">
        <x:f>E93*'Scenarios'!$D$19/12</x:f>
        <x:v>0.002475</x:v>
      </x:c>
      <x:c r="F97" s="113" t="n">
        <x:f>F93*'Scenarios'!$D$19/12</x:f>
        <x:v>0.0049128750000000014</x:v>
      </x:c>
      <x:c r="G97" s="113" t="n">
        <x:f>G93*'Scenarios'!$D$19/12</x:f>
        <x:v>0.007314181875000002</x:v>
      </x:c>
      <x:c r="H97" s="113" t="n">
        <x:f>H93*'Scenarios'!$D$19/12</x:f>
        <x:v>0.012229469146875003</x:v>
      </x:c>
      <x:c r="I97" s="113" t="n">
        <x:f>I93*'Scenarios'!$D$19/12</x:f>
        <x:v>0.017071027109671878</x:v>
      </x:c>
      <x:c r="J97" s="113" t="n">
        <x:f>J93*'Scenarios'!$D$19/12</x:f>
        <x:v>0.021839961703026798</x:v>
      </x:c>
      <x:c r="K97" s="113" t="n">
        <x:f>K93*'Scenarios'!$D$19/12</x:f>
        <x:v>0.026537362277481397</x:v>
      </x:c>
      <x:c r="L97" s="113" t="n">
        <x:f>L93*'Scenarios'!$D$19/12</x:f>
        <x:v>0.03116430184331918</x:v>
      </x:c>
      <x:c r="M97" s="113" t="n">
        <x:f>M93*'Scenarios'!$D$19/12</x:f>
        <x:v>0.03572183731566939</x:v>
      </x:c>
      <x:c r="N97" s="113" t="n">
        <x:f>N93*'Scenarios'!$D$19/12</x:f>
        <x:v>0.04021100975593435</x:v>
      </x:c>
      <x:c r="O97" s="113" t="n">
        <x:f>O93*'Scenarios'!$D$19/12</x:f>
        <x:v>0.04463284460959533</x:v>
      </x:c>
      <x:c r="P97" s="113" t="n">
        <x:f>P93*'Scenarios'!$D$19/12</x:f>
        <x:v>0.0489883519404514</x:v>
      </x:c>
      <x:c r="Q97" s="113" t="n">
        <x:f>Q93*'Scenarios'!$D$19/12</x:f>
        <x:v>0.05575352666134462</x:v>
      </x:c>
      <x:c r="R97" s="113" t="n">
        <x:f>R93*'Scenarios'!$D$19/12</x:f>
        <x:v>0.062417223761424466</x:v>
      </x:c>
      <x:c r="S97" s="113" t="n">
        <x:f>S93*'Scenarios'!$D$19/12</x:f>
        <x:v>0.06898096540500309</x:v>
      </x:c>
      <x:c r="T97" s="113" t="n">
        <x:f>T93*'Scenarios'!$D$19/12</x:f>
        <x:v>0.07544625092392805</x:v>
      </x:c>
      <x:c r="U97" s="113" t="n">
        <x:f>U93*'Scenarios'!$D$19/12</x:f>
        <x:v>0.08181455716006913</x:v>
      </x:c>
      <x:c r="V97" s="113" t="n">
        <x:f>V93*'Scenarios'!$D$19/12</x:f>
        <x:v>0.0880873388026681</x:v>
      </x:c>
      <x:c r="W97" s="113" t="n">
        <x:f>W93*'Scenarios'!$D$19/12</x:f>
        <x:v>0.09614102872062807</x:v>
      </x:c>
      <x:c r="X97" s="113" t="n">
        <x:f>X93*'Scenarios'!$D$19/12</x:f>
        <x:v>0.10407391328981867</x:v>
      </x:c>
      <x:c r="Y97" s="113" t="n">
        <x:f>Y93*'Scenarios'!$D$19/12</x:f>
        <x:v>0.11188780459047137</x:v>
      </x:c>
      <x:c r="Z97" s="113" t="n">
        <x:f>Z93*'Scenarios'!$D$19/12</x:f>
        <x:v>0.11958448752161431</x:v>
      </x:c>
      <x:c r="AA97" s="113" t="n">
        <x:f>AA93*'Scenarios'!$D$19/12</x:f>
        <x:v>0.12716572020879008</x:v>
      </x:c>
      <x:c r="AB97" s="113" t="n">
        <x:f>AB93*'Scenarios'!$D$19/12</x:f>
        <x:v>0.13463323440565822</x:v>
      </x:c>
      <x:c r="AC97" s="113" t="n">
        <x:f>AC93*'Scenarios'!$D$19/12</x:f>
        <x:v>0.14386373588957332</x:v>
      </x:c>
      <x:c r="AD97" s="113" t="n">
        <x:f>AD93*'Scenarios'!$D$19/12</x:f>
        <x:v>0.15295577985122974</x:v>
      </x:c>
      <x:c r="AE97" s="113" t="n">
        <x:f>AE93*'Scenarios'!$D$19/12</x:f>
        <x:v>0.16191144315346132</x:v>
      </x:c>
      <x:c r="AF97" s="113" t="n">
        <x:f>AF93*'Scenarios'!$D$19/12</x:f>
        <x:v>0.1707327715061594</x:v>
      </x:c>
      <x:c r="AG97" s="113" t="n">
        <x:f>AG93*'Scenarios'!$D$19/12</x:f>
        <x:v>0.179421779933567</x:v>
      </x:c>
      <x:c r="AH97" s="113" t="n">
        <x:f>AH93*'Scenarios'!$D$19/12</x:f>
        <x:v>0.1879804532345635</x:v>
      </x:c>
      <x:c r="AI97" s="113" t="n">
        <x:f>AI93*'Scenarios'!$D$19/12</x:f>
        <x:v>0.19641074643604509</x:v>
      </x:c>
      <x:c r="AJ97" s="113" t="n">
        <x:f>AJ93*'Scenarios'!$D$19/12</x:f>
        <x:v>0.20471458523950445</x:v>
      </x:c>
      <x:c r="AK97" s="113" t="n">
        <x:f>AK93*'Scenarios'!$D$19/12</x:f>
        <x:v>0.21289386646091188</x:v>
      </x:c>
      <x:c r="AL97" s="113" t="n">
        <x:f>AL93*'Scenarios'!$D$19/12</x:f>
        <x:v>0.22095045846399822</x:v>
      </x:c>
    </x:row>
    <x:row r="98">
      <x:c r="A98" s="84" t="str">
        <x:v>Partner enablement projects</x:v>
      </x:c>
      <x:c r="B98" s="84" t="str">
        <x:v>count</x:v>
      </x:c>
      <x:c r="C98" s="113" t="n">
        <x:f>'Scenarios'!$D$21/12</x:f>
        <x:v>0.08333333333333333</x:v>
      </x:c>
      <x:c r="D98" s="113" t="n">
        <x:f>'Scenarios'!$D$21/12</x:f>
        <x:v>0.08333333333333333</x:v>
      </x:c>
      <x:c r="E98" s="113" t="n">
        <x:f>'Scenarios'!$D$21/12</x:f>
        <x:v>0.08333333333333333</x:v>
      </x:c>
      <x:c r="F98" s="113" t="n">
        <x:f>'Scenarios'!$D$21/12</x:f>
        <x:v>0.08333333333333333</x:v>
      </x:c>
      <x:c r="G98" s="113" t="n">
        <x:f>'Scenarios'!$D$21/12</x:f>
        <x:v>0.08333333333333333</x:v>
      </x:c>
      <x:c r="H98" s="113" t="n">
        <x:f>'Scenarios'!$D$21/12</x:f>
        <x:v>0.08333333333333333</x:v>
      </x:c>
      <x:c r="I98" s="113" t="n">
        <x:f>'Scenarios'!$D$21/12</x:f>
        <x:v>0.08333333333333333</x:v>
      </x:c>
      <x:c r="J98" s="113" t="n">
        <x:f>'Scenarios'!$D$21/12</x:f>
        <x:v>0.08333333333333333</x:v>
      </x:c>
      <x:c r="K98" s="113" t="n">
        <x:f>'Scenarios'!$D$21/12</x:f>
        <x:v>0.08333333333333333</x:v>
      </x:c>
      <x:c r="L98" s="113" t="n">
        <x:f>'Scenarios'!$D$21/12</x:f>
        <x:v>0.08333333333333333</x:v>
      </x:c>
      <x:c r="M98" s="113" t="n">
        <x:f>'Scenarios'!$D$21/12</x:f>
        <x:v>0.08333333333333333</x:v>
      </x:c>
      <x:c r="N98" s="113" t="n">
        <x:f>'Scenarios'!$D$21/12</x:f>
        <x:v>0.08333333333333333</x:v>
      </x:c>
      <x:c r="O98" s="113" t="n">
        <x:f>'Scenarios'!$D$22/12</x:f>
        <x:v>0.08333333333333333</x:v>
      </x:c>
      <x:c r="P98" s="113" t="n">
        <x:f>'Scenarios'!$D$22/12</x:f>
        <x:v>0.08333333333333333</x:v>
      </x:c>
      <x:c r="Q98" s="113" t="n">
        <x:f>'Scenarios'!$D$22/12</x:f>
        <x:v>0.08333333333333333</x:v>
      </x:c>
      <x:c r="R98" s="113" t="n">
        <x:f>'Scenarios'!$D$22/12</x:f>
        <x:v>0.08333333333333333</x:v>
      </x:c>
      <x:c r="S98" s="113" t="n">
        <x:f>'Scenarios'!$D$22/12</x:f>
        <x:v>0.08333333333333333</x:v>
      </x:c>
      <x:c r="T98" s="113" t="n">
        <x:f>'Scenarios'!$D$22/12</x:f>
        <x:v>0.08333333333333333</x:v>
      </x:c>
      <x:c r="U98" s="113" t="n">
        <x:f>'Scenarios'!$D$22/12</x:f>
        <x:v>0.08333333333333333</x:v>
      </x:c>
      <x:c r="V98" s="113" t="n">
        <x:f>'Scenarios'!$D$22/12</x:f>
        <x:v>0.08333333333333333</x:v>
      </x:c>
      <x:c r="W98" s="113" t="n">
        <x:f>'Scenarios'!$D$22/12</x:f>
        <x:v>0.08333333333333333</x:v>
      </x:c>
      <x:c r="X98" s="113" t="n">
        <x:f>'Scenarios'!$D$22/12</x:f>
        <x:v>0.08333333333333333</x:v>
      </x:c>
      <x:c r="Y98" s="113" t="n">
        <x:f>'Scenarios'!$D$22/12</x:f>
        <x:v>0.08333333333333333</x:v>
      </x:c>
      <x:c r="Z98" s="113" t="n">
        <x:f>'Scenarios'!$D$22/12</x:f>
        <x:v>0.08333333333333333</x:v>
      </x:c>
      <x:c r="AA98" s="113" t="n">
        <x:f>'Scenarios'!$D$23/12</x:f>
        <x:v>0.08333333333333333</x:v>
      </x:c>
      <x:c r="AB98" s="113" t="n">
        <x:f>'Scenarios'!$D$23/12</x:f>
        <x:v>0.08333333333333333</x:v>
      </x:c>
      <x:c r="AC98" s="113" t="n">
        <x:f>'Scenarios'!$D$23/12</x:f>
        <x:v>0.08333333333333333</x:v>
      </x:c>
      <x:c r="AD98" s="113" t="n">
        <x:f>'Scenarios'!$D$23/12</x:f>
        <x:v>0.08333333333333333</x:v>
      </x:c>
      <x:c r="AE98" s="113" t="n">
        <x:f>'Scenarios'!$D$23/12</x:f>
        <x:v>0.08333333333333333</x:v>
      </x:c>
      <x:c r="AF98" s="113" t="n">
        <x:f>'Scenarios'!$D$23/12</x:f>
        <x:v>0.08333333333333333</x:v>
      </x:c>
      <x:c r="AG98" s="113" t="n">
        <x:f>'Scenarios'!$D$23/12</x:f>
        <x:v>0.08333333333333333</x:v>
      </x:c>
      <x:c r="AH98" s="113" t="n">
        <x:f>'Scenarios'!$D$23/12</x:f>
        <x:v>0.08333333333333333</x:v>
      </x:c>
      <x:c r="AI98" s="113" t="n">
        <x:f>'Scenarios'!$D$23/12</x:f>
        <x:v>0.08333333333333333</x:v>
      </x:c>
      <x:c r="AJ98" s="113" t="n">
        <x:f>'Scenarios'!$D$23/12</x:f>
        <x:v>0.08333333333333333</x:v>
      </x:c>
      <x:c r="AK98" s="113" t="n">
        <x:f>'Scenarios'!$D$23/12</x:f>
        <x:v>0.08333333333333333</x:v>
      </x:c>
      <x:c r="AL98" s="113" t="n">
        <x:f>'Scenarios'!$D$23/12</x:f>
        <x:v>0.08333333333333333</x:v>
      </x:c>
    </x:row>
    <x:row r="99">
      <x:c r="A99" s="63" t="str">
        <x:v>REVENUE</x:v>
      </x:c>
      <x:c r="B99" s="63" t="str"/>
      <x:c r="C99" s="112"/>
      <x:c r="D99" s="112"/>
      <x:c r="E99" s="112"/>
      <x:c r="F99" s="112"/>
      <x:c r="G99" s="112"/>
      <x:c r="H99" s="112"/>
      <x:c r="I99" s="112"/>
      <x:c r="J99" s="112"/>
      <x:c r="K99" s="112"/>
      <x:c r="L99" s="112"/>
      <x:c r="M99" s="112"/>
      <x:c r="N99" s="112"/>
      <x:c r="O99" s="112"/>
      <x:c r="P99" s="112"/>
      <x:c r="Q99" s="112"/>
      <x:c r="R99" s="112"/>
      <x:c r="S99" s="112"/>
      <x:c r="T99" s="112"/>
      <x:c r="U99" s="112"/>
      <x:c r="V99" s="112"/>
      <x:c r="W99" s="112"/>
      <x:c r="X99" s="112"/>
      <x:c r="Y99" s="112"/>
      <x:c r="Z99" s="112"/>
      <x:c r="AA99" s="112"/>
      <x:c r="AB99" s="112"/>
      <x:c r="AC99" s="112"/>
      <x:c r="AD99" s="112"/>
      <x:c r="AE99" s="112"/>
      <x:c r="AF99" s="112"/>
      <x:c r="AG99" s="112"/>
      <x:c r="AH99" s="112"/>
      <x:c r="AI99" s="112"/>
      <x:c r="AJ99" s="112"/>
      <x:c r="AK99" s="112"/>
      <x:c r="AL99" s="112"/>
    </x:row>
    <x:row r="100">
      <x:c r="A100" s="84" t="str">
        <x:v>Review revenue</x:v>
      </x:c>
      <x:c r="B100" s="84" t="str">
        <x:v>$</x:v>
      </x:c>
      <x:c r="C100" s="114" t="n">
        <x:f>C89*'Scenarios'!$D$9*'Scenarios'!$D$5*(1-'Scenarios'!$D$6*'Scenarios'!$D$7)</x:f>
        <x:v>773.4375</x:v>
      </x:c>
      <x:c r="D100" s="114" t="n">
        <x:f>D89*'Scenarios'!$D$9*'Scenarios'!$D$5*(1-'Scenarios'!$D$6*'Scenarios'!$D$7)</x:f>
        <x:v>773.4375</x:v>
      </x:c>
      <x:c r="E100" s="114" t="n">
        <x:f>E89*'Scenarios'!$D$9*'Scenarios'!$D$5*(1-'Scenarios'!$D$6*'Scenarios'!$D$7)</x:f>
        <x:v>773.4375</x:v>
      </x:c>
      <x:c r="F100" s="114" t="n">
        <x:f>F89*'Scenarios'!$D$9*'Scenarios'!$D$5*(1-'Scenarios'!$D$6*'Scenarios'!$D$7)</x:f>
        <x:v>1570.3125</x:v>
      </x:c>
      <x:c r="G100" s="114" t="n">
        <x:f>G89*'Scenarios'!$D$9*'Scenarios'!$D$5*(1-'Scenarios'!$D$6*'Scenarios'!$D$7)</x:f>
        <x:v>1570.3125</x:v>
      </x:c>
      <x:c r="H100" s="114" t="n">
        <x:f>H89*'Scenarios'!$D$9*'Scenarios'!$D$5*(1-'Scenarios'!$D$6*'Scenarios'!$D$7)</x:f>
        <x:v>1570.3125</x:v>
      </x:c>
      <x:c r="I100" s="114" t="n">
        <x:f>I89*'Scenarios'!$D$9*'Scenarios'!$D$5*(1-'Scenarios'!$D$6*'Scenarios'!$D$7)</x:f>
        <x:v>1570.3125</x:v>
      </x:c>
      <x:c r="J100" s="114" t="n">
        <x:f>J89*'Scenarios'!$D$9*'Scenarios'!$D$5*(1-'Scenarios'!$D$6*'Scenarios'!$D$7)</x:f>
        <x:v>1570.3125</x:v>
      </x:c>
      <x:c r="K100" s="114" t="n">
        <x:f>K89*'Scenarios'!$D$9*'Scenarios'!$D$5*(1-'Scenarios'!$D$6*'Scenarios'!$D$7)</x:f>
        <x:v>1570.3125</x:v>
      </x:c>
      <x:c r="L100" s="114" t="n">
        <x:f>L89*'Scenarios'!$D$9*'Scenarios'!$D$5*(1-'Scenarios'!$D$6*'Scenarios'!$D$7)</x:f>
        <x:v>1570.3125</x:v>
      </x:c>
      <x:c r="M100" s="114" t="n">
        <x:f>M89*'Scenarios'!$D$9*'Scenarios'!$D$5*(1-'Scenarios'!$D$6*'Scenarios'!$D$7)</x:f>
        <x:v>1570.3125</x:v>
      </x:c>
      <x:c r="N100" s="114" t="n">
        <x:f>N89*'Scenarios'!$D$9*'Scenarios'!$D$5*(1-'Scenarios'!$D$6*'Scenarios'!$D$7)</x:f>
        <x:v>1570.3125</x:v>
      </x:c>
      <x:c r="O100" s="114" t="n">
        <x:f>O89*'Scenarios'!$D$9*'Scenarios'!$D$5*(1-'Scenarios'!$D$6*'Scenarios'!$D$7)</x:f>
        <x:v>2343.75</x:v>
      </x:c>
      <x:c r="P100" s="114" t="n">
        <x:f>P89*'Scenarios'!$D$9*'Scenarios'!$D$5*(1-'Scenarios'!$D$6*'Scenarios'!$D$7)</x:f>
        <x:v>2343.75</x:v>
      </x:c>
      <x:c r="Q100" s="114" t="n">
        <x:f>Q89*'Scenarios'!$D$9*'Scenarios'!$D$5*(1-'Scenarios'!$D$6*'Scenarios'!$D$7)</x:f>
        <x:v>2343.75</x:v>
      </x:c>
      <x:c r="R100" s="114" t="n">
        <x:f>R89*'Scenarios'!$D$9*'Scenarios'!$D$5*(1-'Scenarios'!$D$6*'Scenarios'!$D$7)</x:f>
        <x:v>2343.75</x:v>
      </x:c>
      <x:c r="S100" s="114" t="n">
        <x:f>S89*'Scenarios'!$D$9*'Scenarios'!$D$5*(1-'Scenarios'!$D$6*'Scenarios'!$D$7)</x:f>
        <x:v>2343.75</x:v>
      </x:c>
      <x:c r="T100" s="114" t="n">
        <x:f>T89*'Scenarios'!$D$9*'Scenarios'!$D$5*(1-'Scenarios'!$D$6*'Scenarios'!$D$7)</x:f>
        <x:v>2343.75</x:v>
      </x:c>
      <x:c r="U100" s="114" t="n">
        <x:f>U89*'Scenarios'!$D$9*'Scenarios'!$D$5*(1-'Scenarios'!$D$6*'Scenarios'!$D$7)</x:f>
        <x:v>2929.6875</x:v>
      </x:c>
      <x:c r="V100" s="114" t="n">
        <x:f>V89*'Scenarios'!$D$9*'Scenarios'!$D$5*(1-'Scenarios'!$D$6*'Scenarios'!$D$7)</x:f>
        <x:v>2929.6875</x:v>
      </x:c>
      <x:c r="W100" s="114" t="n">
        <x:f>W89*'Scenarios'!$D$9*'Scenarios'!$D$5*(1-'Scenarios'!$D$6*'Scenarios'!$D$7)</x:f>
        <x:v>2929.6875</x:v>
      </x:c>
      <x:c r="X100" s="114" t="n">
        <x:f>X89*'Scenarios'!$D$9*'Scenarios'!$D$5*(1-'Scenarios'!$D$6*'Scenarios'!$D$7)</x:f>
        <x:v>2929.6875</x:v>
      </x:c>
      <x:c r="Y100" s="114" t="n">
        <x:f>Y89*'Scenarios'!$D$9*'Scenarios'!$D$5*(1-'Scenarios'!$D$6*'Scenarios'!$D$7)</x:f>
        <x:v>2929.6875</x:v>
      </x:c>
      <x:c r="Z100" s="114" t="n">
        <x:f>Z89*'Scenarios'!$D$9*'Scenarios'!$D$5*(1-'Scenarios'!$D$6*'Scenarios'!$D$7)</x:f>
        <x:v>2929.6875</x:v>
      </x:c>
      <x:c r="AA100" s="114" t="n">
        <x:f>AA89*'Scenarios'!$D$9*'Scenarios'!$D$5*(1-'Scenarios'!$D$6*'Scenarios'!$D$7)</x:f>
        <x:v>3515.625</x:v>
      </x:c>
      <x:c r="AB100" s="114" t="n">
        <x:f>AB89*'Scenarios'!$D$9*'Scenarios'!$D$5*(1-'Scenarios'!$D$6*'Scenarios'!$D$7)</x:f>
        <x:v>3515.625</x:v>
      </x:c>
      <x:c r="AC100" s="114" t="n">
        <x:f>AC89*'Scenarios'!$D$9*'Scenarios'!$D$5*(1-'Scenarios'!$D$6*'Scenarios'!$D$7)</x:f>
        <x:v>3515.625</x:v>
      </x:c>
      <x:c r="AD100" s="114" t="n">
        <x:f>AD89*'Scenarios'!$D$9*'Scenarios'!$D$5*(1-'Scenarios'!$D$6*'Scenarios'!$D$7)</x:f>
        <x:v>3515.625</x:v>
      </x:c>
      <x:c r="AE100" s="114" t="n">
        <x:f>AE89*'Scenarios'!$D$9*'Scenarios'!$D$5*(1-'Scenarios'!$D$6*'Scenarios'!$D$7)</x:f>
        <x:v>3515.625</x:v>
      </x:c>
      <x:c r="AF100" s="114" t="n">
        <x:f>AF89*'Scenarios'!$D$9*'Scenarios'!$D$5*(1-'Scenarios'!$D$6*'Scenarios'!$D$7)</x:f>
        <x:v>3515.625</x:v>
      </x:c>
      <x:c r="AG100" s="114" t="n">
        <x:f>AG89*'Scenarios'!$D$9*'Scenarios'!$D$5*(1-'Scenarios'!$D$6*'Scenarios'!$D$7)</x:f>
        <x:v>3515.625</x:v>
      </x:c>
      <x:c r="AH100" s="114" t="n">
        <x:f>AH89*'Scenarios'!$D$9*'Scenarios'!$D$5*(1-'Scenarios'!$D$6*'Scenarios'!$D$7)</x:f>
        <x:v>3515.625</x:v>
      </x:c>
      <x:c r="AI100" s="114" t="n">
        <x:f>AI89*'Scenarios'!$D$9*'Scenarios'!$D$5*(1-'Scenarios'!$D$6*'Scenarios'!$D$7)</x:f>
        <x:v>3515.625</x:v>
      </x:c>
      <x:c r="AJ100" s="114" t="n">
        <x:f>AJ89*'Scenarios'!$D$9*'Scenarios'!$D$5*(1-'Scenarios'!$D$6*'Scenarios'!$D$7)</x:f>
        <x:v>3515.625</x:v>
      </x:c>
      <x:c r="AK100" s="114" t="n">
        <x:f>AK89*'Scenarios'!$D$9*'Scenarios'!$D$5*(1-'Scenarios'!$D$6*'Scenarios'!$D$7)</x:f>
        <x:v>3515.625</x:v>
      </x:c>
      <x:c r="AL100" s="114" t="n">
        <x:f>AL89*'Scenarios'!$D$9*'Scenarios'!$D$5*(1-'Scenarios'!$D$6*'Scenarios'!$D$7)</x:f>
        <x:v>3515.625</x:v>
      </x:c>
    </x:row>
    <x:row r="101">
      <x:c r="A101" s="84" t="str">
        <x:v>Launch revenue</x:v>
      </x:c>
      <x:c r="B101" s="84" t="str">
        <x:v>$</x:v>
      </x:c>
      <x:c r="C101" s="114" t="n">
        <x:f>C90*'Scenarios'!$D$10*'Scenarios'!$D$5*(1-'Scenarios'!$D$6*'Scenarios'!$D$7)</x:f>
        <x:v>0</x:v>
      </x:c>
      <x:c r="D101" s="114" t="n">
        <x:f>D90*'Scenarios'!$D$10*'Scenarios'!$D$5*(1-'Scenarios'!$D$6*'Scenarios'!$D$7)</x:f>
        <x:v>1763.4375</x:v>
      </x:c>
      <x:c r="E101" s="114" t="n">
        <x:f>E90*'Scenarios'!$D$10*'Scenarios'!$D$5*(1-'Scenarios'!$D$6*'Scenarios'!$D$7)</x:f>
        <x:v>1763.4375</x:v>
      </x:c>
      <x:c r="F101" s="114" t="n">
        <x:f>F90*'Scenarios'!$D$10*'Scenarios'!$D$5*(1-'Scenarios'!$D$6*'Scenarios'!$D$7)</x:f>
        <x:v>1763.4375</x:v>
      </x:c>
      <x:c r="G101" s="114" t="n">
        <x:f>G90*'Scenarios'!$D$10*'Scenarios'!$D$5*(1-'Scenarios'!$D$6*'Scenarios'!$D$7)</x:f>
        <x:v>3580.3125000000005</x:v>
      </x:c>
      <x:c r="H101" s="114" t="n">
        <x:f>H90*'Scenarios'!$D$10*'Scenarios'!$D$5*(1-'Scenarios'!$D$6*'Scenarios'!$D$7)</x:f>
        <x:v>3580.3125000000005</x:v>
      </x:c>
      <x:c r="I101" s="114" t="n">
        <x:f>I90*'Scenarios'!$D$10*'Scenarios'!$D$5*(1-'Scenarios'!$D$6*'Scenarios'!$D$7)</x:f>
        <x:v>3580.3125000000005</x:v>
      </x:c>
      <x:c r="J101" s="114" t="n">
        <x:f>J90*'Scenarios'!$D$10*'Scenarios'!$D$5*(1-'Scenarios'!$D$6*'Scenarios'!$D$7)</x:f>
        <x:v>3580.3125000000005</x:v>
      </x:c>
      <x:c r="K101" s="114" t="n">
        <x:f>K90*'Scenarios'!$D$10*'Scenarios'!$D$5*(1-'Scenarios'!$D$6*'Scenarios'!$D$7)</x:f>
        <x:v>3580.3125000000005</x:v>
      </x:c>
      <x:c r="L101" s="114" t="n">
        <x:f>L90*'Scenarios'!$D$10*'Scenarios'!$D$5*(1-'Scenarios'!$D$6*'Scenarios'!$D$7)</x:f>
        <x:v>3580.3125000000005</x:v>
      </x:c>
      <x:c r="M101" s="114" t="n">
        <x:f>M90*'Scenarios'!$D$10*'Scenarios'!$D$5*(1-'Scenarios'!$D$6*'Scenarios'!$D$7)</x:f>
        <x:v>3580.3125000000005</x:v>
      </x:c>
      <x:c r="N101" s="114" t="n">
        <x:f>N90*'Scenarios'!$D$10*'Scenarios'!$D$5*(1-'Scenarios'!$D$6*'Scenarios'!$D$7)</x:f>
        <x:v>3580.3125000000005</x:v>
      </x:c>
      <x:c r="O101" s="114" t="n">
        <x:f>O90*'Scenarios'!$D$10*'Scenarios'!$D$5*(1-'Scenarios'!$D$6*'Scenarios'!$D$7)</x:f>
        <x:v>3580.3125000000005</x:v>
      </x:c>
      <x:c r="P101" s="114" t="n">
        <x:f>P90*'Scenarios'!$D$10*'Scenarios'!$D$5*(1-'Scenarios'!$D$6*'Scenarios'!$D$7)</x:f>
        <x:v>5343.75</x:v>
      </x:c>
      <x:c r="Q101" s="114" t="n">
        <x:f>Q90*'Scenarios'!$D$10*'Scenarios'!$D$5*(1-'Scenarios'!$D$6*'Scenarios'!$D$7)</x:f>
        <x:v>5343.75</x:v>
      </x:c>
      <x:c r="R101" s="114" t="n">
        <x:f>R90*'Scenarios'!$D$10*'Scenarios'!$D$5*(1-'Scenarios'!$D$6*'Scenarios'!$D$7)</x:f>
        <x:v>5343.75</x:v>
      </x:c>
      <x:c r="S101" s="114" t="n">
        <x:f>S90*'Scenarios'!$D$10*'Scenarios'!$D$5*(1-'Scenarios'!$D$6*'Scenarios'!$D$7)</x:f>
        <x:v>5343.75</x:v>
      </x:c>
      <x:c r="T101" s="114" t="n">
        <x:f>T90*'Scenarios'!$D$10*'Scenarios'!$D$5*(1-'Scenarios'!$D$6*'Scenarios'!$D$7)</x:f>
        <x:v>5343.75</x:v>
      </x:c>
      <x:c r="U101" s="114" t="n">
        <x:f>U90*'Scenarios'!$D$10*'Scenarios'!$D$5*(1-'Scenarios'!$D$6*'Scenarios'!$D$7)</x:f>
        <x:v>5343.75</x:v>
      </x:c>
      <x:c r="V101" s="114" t="n">
        <x:f>V90*'Scenarios'!$D$10*'Scenarios'!$D$5*(1-'Scenarios'!$D$6*'Scenarios'!$D$7)</x:f>
        <x:v>6679.6875</x:v>
      </x:c>
      <x:c r="W101" s="114" t="n">
        <x:f>W90*'Scenarios'!$D$10*'Scenarios'!$D$5*(1-'Scenarios'!$D$6*'Scenarios'!$D$7)</x:f>
        <x:v>6679.6875</x:v>
      </x:c>
      <x:c r="X101" s="114" t="n">
        <x:f>X90*'Scenarios'!$D$10*'Scenarios'!$D$5*(1-'Scenarios'!$D$6*'Scenarios'!$D$7)</x:f>
        <x:v>6679.6875</x:v>
      </x:c>
      <x:c r="Y101" s="114" t="n">
        <x:f>Y90*'Scenarios'!$D$10*'Scenarios'!$D$5*(1-'Scenarios'!$D$6*'Scenarios'!$D$7)</x:f>
        <x:v>6679.6875</x:v>
      </x:c>
      <x:c r="Z101" s="114" t="n">
        <x:f>Z90*'Scenarios'!$D$10*'Scenarios'!$D$5*(1-'Scenarios'!$D$6*'Scenarios'!$D$7)</x:f>
        <x:v>6679.6875</x:v>
      </x:c>
      <x:c r="AA101" s="114" t="n">
        <x:f>AA90*'Scenarios'!$D$10*'Scenarios'!$D$5*(1-'Scenarios'!$D$6*'Scenarios'!$D$7)</x:f>
        <x:v>6679.6875</x:v>
      </x:c>
      <x:c r="AB101" s="114" t="n">
        <x:f>AB90*'Scenarios'!$D$10*'Scenarios'!$D$5*(1-'Scenarios'!$D$6*'Scenarios'!$D$7)</x:f>
        <x:v>8015.625</x:v>
      </x:c>
      <x:c r="AC101" s="114" t="n">
        <x:f>AC90*'Scenarios'!$D$10*'Scenarios'!$D$5*(1-'Scenarios'!$D$6*'Scenarios'!$D$7)</x:f>
        <x:v>8015.625</x:v>
      </x:c>
      <x:c r="AD101" s="114" t="n">
        <x:f>AD90*'Scenarios'!$D$10*'Scenarios'!$D$5*(1-'Scenarios'!$D$6*'Scenarios'!$D$7)</x:f>
        <x:v>8015.625</x:v>
      </x:c>
      <x:c r="AE101" s="114" t="n">
        <x:f>AE90*'Scenarios'!$D$10*'Scenarios'!$D$5*(1-'Scenarios'!$D$6*'Scenarios'!$D$7)</x:f>
        <x:v>8015.625</x:v>
      </x:c>
      <x:c r="AF101" s="114" t="n">
        <x:f>AF90*'Scenarios'!$D$10*'Scenarios'!$D$5*(1-'Scenarios'!$D$6*'Scenarios'!$D$7)</x:f>
        <x:v>8015.625</x:v>
      </x:c>
      <x:c r="AG101" s="114" t="n">
        <x:f>AG90*'Scenarios'!$D$10*'Scenarios'!$D$5*(1-'Scenarios'!$D$6*'Scenarios'!$D$7)</x:f>
        <x:v>8015.625</x:v>
      </x:c>
      <x:c r="AH101" s="114" t="n">
        <x:f>AH90*'Scenarios'!$D$10*'Scenarios'!$D$5*(1-'Scenarios'!$D$6*'Scenarios'!$D$7)</x:f>
        <x:v>8015.625</x:v>
      </x:c>
      <x:c r="AI101" s="114" t="n">
        <x:f>AI90*'Scenarios'!$D$10*'Scenarios'!$D$5*(1-'Scenarios'!$D$6*'Scenarios'!$D$7)</x:f>
        <x:v>8015.625</x:v>
      </x:c>
      <x:c r="AJ101" s="114" t="n">
        <x:f>AJ90*'Scenarios'!$D$10*'Scenarios'!$D$5*(1-'Scenarios'!$D$6*'Scenarios'!$D$7)</x:f>
        <x:v>8015.625</x:v>
      </x:c>
      <x:c r="AK101" s="114" t="n">
        <x:f>AK90*'Scenarios'!$D$10*'Scenarios'!$D$5*(1-'Scenarios'!$D$6*'Scenarios'!$D$7)</x:f>
        <x:v>8015.625</x:v>
      </x:c>
      <x:c r="AL101" s="114" t="n">
        <x:f>AL90*'Scenarios'!$D$10*'Scenarios'!$D$5*(1-'Scenarios'!$D$6*'Scenarios'!$D$7)</x:f>
        <x:v>8015.625</x:v>
      </x:c>
    </x:row>
    <x:row r="102">
      <x:c r="A102" s="84" t="str">
        <x:v>Core recurring revenue</x:v>
      </x:c>
      <x:c r="B102" s="84" t="str">
        <x:v>$</x:v>
      </x:c>
      <x:c r="C102" s="114" t="n">
        <x:f>C94*'Scenarios'!$D$11*'Scenarios'!$D$5*(1-'Scenarios'!$D$6*'Scenarios'!$D$7)</x:f>
        <x:v>0</x:v>
      </x:c>
      <x:c r="D102" s="114" t="n">
        <x:f>D94*'Scenarios'!$D$11*'Scenarios'!$D$5*(1-'Scenarios'!$D$6*'Scenarios'!$D$7)</x:f>
        <x:v>0</x:v>
      </x:c>
      <x:c r="E102" s="114" t="n">
        <x:f>E94*'Scenarios'!$D$11*'Scenarios'!$D$5*(1-'Scenarios'!$D$6*'Scenarios'!$D$7)</x:f>
        <x:v>87.01171875000001</x:v>
      </x:c>
      <x:c r="F102" s="114" t="n">
        <x:f>F94*'Scenarios'!$D$11*'Scenarios'!$D$5*(1-'Scenarios'!$D$6*'Scenarios'!$D$7)</x:f>
        <x:v>172.71826171875003</x:v>
      </x:c>
      <x:c r="G102" s="114" t="n">
        <x:f>G94*'Scenarios'!$D$11*'Scenarios'!$D$5*(1-'Scenarios'!$D$6*'Scenarios'!$D$7)</x:f>
        <x:v>257.1392065429688</x:v>
      </x:c>
      <x:c r="H102" s="114" t="n">
        <x:f>H94*'Scenarios'!$D$11*'Scenarios'!$D$5*(1-'Scenarios'!$D$6*'Scenarios'!$D$7)</x:f>
        <x:v>429.9422746948243</x:v>
      </x:c>
      <x:c r="I102" s="114" t="n">
        <x:f>I94*'Scenarios'!$D$11*'Scenarios'!$D$5*(1-'Scenarios'!$D$6*'Scenarios'!$D$7)</x:f>
        <x:v>600.1532968244019</x:v>
      </x:c>
      <x:c r="J102" s="114" t="n">
        <x:f>J94*'Scenarios'!$D$11*'Scenarios'!$D$5*(1-'Scenarios'!$D$6*'Scenarios'!$D$7)</x:f>
        <x:v>767.8111536220359</x:v>
      </x:c>
      <x:c r="K102" s="114" t="n">
        <x:f>K94*'Scenarios'!$D$11*'Scenarios'!$D$5*(1-'Scenarios'!$D$6*'Scenarios'!$D$7)</x:f>
        <x:v>932.9541425677053</x:v>
      </x:c>
      <x:c r="L102" s="114" t="n">
        <x:f>L94*'Scenarios'!$D$11*'Scenarios'!$D$5*(1-'Scenarios'!$D$6*'Scenarios'!$D$7)</x:f>
        <x:v>1095.6199866791899</x:v>
      </x:c>
      <x:c r="M102" s="114" t="n">
        <x:f>M94*'Scenarios'!$D$11*'Scenarios'!$D$5*(1-'Scenarios'!$D$6*'Scenarios'!$D$7)</x:f>
        <x:v>1255.8458431290019</x:v>
      </x:c>
      <x:c r="N102" s="114" t="n">
        <x:f>N94*'Scenarios'!$D$11*'Scenarios'!$D$5*(1-'Scenarios'!$D$6*'Scenarios'!$D$7)</x:f>
        <x:v>1413.6683117320667</x:v>
      </x:c>
      <x:c r="O102" s="114" t="n">
        <x:f>O94*'Scenarios'!$D$11*'Scenarios'!$D$5*(1-'Scenarios'!$D$6*'Scenarios'!$D$7)</x:f>
        <x:v>1569.1234433060858</x:v>
      </x:c>
      <x:c r="P102" s="114" t="n">
        <x:f>P94*'Scenarios'!$D$11*'Scenarios'!$D$5*(1-'Scenarios'!$D$6*'Scenarios'!$D$7)</x:f>
        <x:v>1722.2467479064944</x:v>
      </x:c>
      <x:c r="Q102" s="114" t="n">
        <x:f>Q94*'Scenarios'!$D$11*'Scenarios'!$D$5*(1-'Scenarios'!$D$6*'Scenarios'!$D$7)</x:f>
        <x:v>1960.084921687897</x:v>
      </x:c>
      <x:c r="R102" s="114" t="n">
        <x:f>R94*'Scenarios'!$D$11*'Scenarios'!$D$5*(1-'Scenarios'!$D$6*'Scenarios'!$D$7)</x:f>
        <x:v>2194.3555228625787</x:v>
      </x:c>
      <x:c r="S102" s="114" t="n">
        <x:f>S94*'Scenarios'!$D$11*'Scenarios'!$D$5*(1-'Scenarios'!$D$6*'Scenarios'!$D$7)</x:f>
        <x:v>2425.11206501964</x:v>
      </x:c>
      <x:c r="T102" s="114" t="n">
        <x:f>T94*'Scenarios'!$D$11*'Scenarios'!$D$5*(1-'Scenarios'!$D$6*'Scenarios'!$D$7)</x:f>
        <x:v>2652.407259044345</x:v>
      </x:c>
      <x:c r="U102" s="114" t="n">
        <x:f>U94*'Scenarios'!$D$11*'Scenarios'!$D$5*(1-'Scenarios'!$D$6*'Scenarios'!$D$7)</x:f>
        <x:v>2876.2930251586804</x:v>
      </x:c>
      <x:c r="V102" s="114" t="n">
        <x:f>V94*'Scenarios'!$D$11*'Scenarios'!$D$5*(1-'Scenarios'!$D$6*'Scenarios'!$D$7)</x:f>
        <x:v>3096.8205047813</x:v>
      </x:c>
      <x:c r="W102" s="114" t="n">
        <x:f>W94*'Scenarios'!$D$11*'Scenarios'!$D$5*(1-'Scenarios'!$D$6*'Scenarios'!$D$7)</x:f>
        <x:v>3379.9580409595806</x:v>
      </x:c>
      <x:c r="X102" s="114" t="n">
        <x:f>X94*'Scenarios'!$D$11*'Scenarios'!$D$5*(1-'Scenarios'!$D$6*'Scenarios'!$D$7)</x:f>
        <x:v>3658.848514095187</x:v>
      </x:c>
      <x:c r="Y102" s="114" t="n">
        <x:f>Y94*'Scenarios'!$D$11*'Scenarios'!$D$5*(1-'Scenarios'!$D$6*'Scenarios'!$D$7)</x:f>
        <x:v>3933.555630133759</x:v>
      </x:c>
      <x:c r="Z102" s="114" t="n">
        <x:f>Z94*'Scenarios'!$D$11*'Scenarios'!$D$5*(1-'Scenarios'!$D$6*'Scenarios'!$D$7)</x:f>
        <x:v>4204.142139431752</x:v>
      </x:c>
      <x:c r="AA102" s="114" t="n">
        <x:f>AA94*'Scenarios'!$D$11*'Scenarios'!$D$5*(1-'Scenarios'!$D$6*'Scenarios'!$D$7)</x:f>
        <x:v>4470.669851090276</x:v>
      </x:c>
      <x:c r="AB102" s="114" t="n">
        <x:f>AB94*'Scenarios'!$D$11*'Scenarios'!$D$5*(1-'Scenarios'!$D$6*'Scenarios'!$D$7)</x:f>
        <x:v>4733.199647073921</x:v>
      </x:c>
      <x:c r="AC102" s="114" t="n">
        <x:f>AC94*'Scenarios'!$D$11*'Scenarios'!$D$5*(1-'Scenarios'!$D$6*'Scenarios'!$D$7)</x:f>
        <x:v>5057.709464867812</x:v>
      </x:c>
      <x:c r="AD102" s="114" t="n">
        <x:f>AD94*'Scenarios'!$D$11*'Scenarios'!$D$5*(1-'Scenarios'!$D$6*'Scenarios'!$D$7)</x:f>
        <x:v>5377.351635394796</x:v>
      </x:c>
      <x:c r="AE102" s="114" t="n">
        <x:f>AE94*'Scenarios'!$D$11*'Scenarios'!$D$5*(1-'Scenarios'!$D$6*'Scenarios'!$D$7)</x:f>
        <x:v>5692.199173363874</x:v>
      </x:c>
      <x:c r="AF102" s="114" t="n">
        <x:f>AF94*'Scenarios'!$D$11*'Scenarios'!$D$5*(1-'Scenarios'!$D$6*'Scenarios'!$D$7)</x:f>
        <x:v>6002.323998263416</x:v>
      </x:c>
      <x:c r="AG102" s="114" t="n">
        <x:f>AG94*'Scenarios'!$D$11*'Scenarios'!$D$5*(1-'Scenarios'!$D$6*'Scenarios'!$D$7)</x:f>
        <x:v>6307.796950789464</x:v>
      </x:c>
      <x:c r="AH102" s="114" t="n">
        <x:f>AH94*'Scenarios'!$D$11*'Scenarios'!$D$5*(1-'Scenarios'!$D$6*'Scenarios'!$D$7)</x:f>
        <x:v>6608.687809027623</x:v>
      </x:c>
      <x:c r="AI102" s="114" t="n">
        <x:f>AI94*'Scenarios'!$D$11*'Scenarios'!$D$5*(1-'Scenarios'!$D$6*'Scenarios'!$D$7)</x:f>
        <x:v>6905.06530439221</x:v>
      </x:c>
      <x:c r="AJ102" s="114" t="n">
        <x:f>AJ94*'Scenarios'!$D$11*'Scenarios'!$D$5*(1-'Scenarios'!$D$6*'Scenarios'!$D$7)</x:f>
        <x:v>7196.997137326327</x:v>
      </x:c>
      <x:c r="AK102" s="114" t="n">
        <x:f>AK94*'Scenarios'!$D$11*'Scenarios'!$D$5*(1-'Scenarios'!$D$6*'Scenarios'!$D$7)</x:f>
        <x:v>7484.549992766432</x:v>
      </x:c>
      <x:c r="AL102" s="114" t="n">
        <x:f>AL94*'Scenarios'!$D$11*'Scenarios'!$D$5*(1-'Scenarios'!$D$6*'Scenarios'!$D$7)</x:f>
        <x:v>7767.789555374938</x:v>
      </x:c>
    </x:row>
    <x:row r="103">
      <x:c r="A103" s="84" t="str">
        <x:v>Operate recurring revenue</x:v>
      </x:c>
      <x:c r="B103" s="84" t="str">
        <x:v>$</x:v>
      </x:c>
      <x:c r="C103" s="114" t="n">
        <x:f>C95*'Scenarios'!$D$12*'Scenarios'!$D$5*(1-'Scenarios'!$D$6*'Scenarios'!$D$7)</x:f>
        <x:v>0</x:v>
      </x:c>
      <x:c r="D103" s="114" t="n">
        <x:f>D95*'Scenarios'!$D$12*'Scenarios'!$D$5*(1-'Scenarios'!$D$6*'Scenarios'!$D$7)</x:f>
        <x:v>0</x:v>
      </x:c>
      <x:c r="E103" s="114" t="n">
        <x:f>E95*'Scenarios'!$D$12*'Scenarios'!$D$5*(1-'Scenarios'!$D$6*'Scenarios'!$D$7)</x:f>
        <x:v>375.89062500000006</x:v>
      </x:c>
      <x:c r="F103" s="114" t="n">
        <x:f>F95*'Scenarios'!$D$12*'Scenarios'!$D$5*(1-'Scenarios'!$D$6*'Scenarios'!$D$7)</x:f>
        <x:v>746.1428906250002</x:v>
      </x:c>
      <x:c r="G103" s="114" t="n">
        <x:f>G95*'Scenarios'!$D$12*'Scenarios'!$D$5*(1-'Scenarios'!$D$6*'Scenarios'!$D$7)</x:f>
        <x:v>1110.8413722656253</x:v>
      </x:c>
      <x:c r="H103" s="114" t="n">
        <x:f>H95*'Scenarios'!$D$12*'Scenarios'!$D$5*(1-'Scenarios'!$D$6*'Scenarios'!$D$7)</x:f>
        <x:v>1857.3506266816407</x:v>
      </x:c>
      <x:c r="I103" s="114" t="n">
        <x:f>I95*'Scenarios'!$D$12*'Scenarios'!$D$5*(1-'Scenarios'!$D$6*'Scenarios'!$D$7)</x:f>
        <x:v>2592.662242281416</x:v>
      </x:c>
      <x:c r="J103" s="114" t="n">
        <x:f>J95*'Scenarios'!$D$12*'Scenarios'!$D$5*(1-'Scenarios'!$D$6*'Scenarios'!$D$7)</x:f>
        <x:v>3316.9441836471956</x:v>
      </x:c>
      <x:c r="K103" s="114" t="n">
        <x:f>K95*'Scenarios'!$D$12*'Scenarios'!$D$5*(1-'Scenarios'!$D$6*'Scenarios'!$D$7)</x:f>
        <x:v>4030.3618958924862</x:v>
      </x:c>
      <x:c r="L103" s="114" t="n">
        <x:f>L95*'Scenarios'!$D$12*'Scenarios'!$D$5*(1-'Scenarios'!$D$6*'Scenarios'!$D$7)</x:f>
        <x:v>4733.0783424541</x:v>
      </x:c>
      <x:c r="M103" s="114" t="n">
        <x:f>M95*'Scenarios'!$D$12*'Scenarios'!$D$5*(1-'Scenarios'!$D$6*'Scenarios'!$D$7)</x:f>
        <x:v>5425.254042317289</x:v>
      </x:c>
      <x:c r="N103" s="114" t="n">
        <x:f>N95*'Scenarios'!$D$12*'Scenarios'!$D$5*(1-'Scenarios'!$D$6*'Scenarios'!$D$7)</x:f>
        <x:v>6107.0471066825285</x:v>
      </x:c>
      <x:c r="O103" s="114" t="n">
        <x:f>O95*'Scenarios'!$D$12*'Scenarios'!$D$5*(1-'Scenarios'!$D$6*'Scenarios'!$D$7)</x:f>
        <x:v>6778.61327508229</x:v>
      </x:c>
      <x:c r="P103" s="114" t="n">
        <x:f>P95*'Scenarios'!$D$12*'Scenarios'!$D$5*(1-'Scenarios'!$D$6*'Scenarios'!$D$7)</x:f>
        <x:v>7440.105950956056</x:v>
      </x:c>
      <x:c r="Q103" s="114" t="n">
        <x:f>Q95*'Scenarios'!$D$12*'Scenarios'!$D$5*(1-'Scenarios'!$D$6*'Scenarios'!$D$7)</x:f>
        <x:v>8467.566861691716</x:v>
      </x:c>
      <x:c r="R103" s="114" t="n">
        <x:f>R95*'Scenarios'!$D$12*'Scenarios'!$D$5*(1-'Scenarios'!$D$6*'Scenarios'!$D$7)</x:f>
        <x:v>9479.61585876634</x:v>
      </x:c>
      <x:c r="S103" s="114" t="n">
        <x:f>S95*'Scenarios'!$D$12*'Scenarios'!$D$5*(1-'Scenarios'!$D$6*'Scenarios'!$D$7)</x:f>
        <x:v>10476.484120884845</x:v>
      </x:c>
      <x:c r="T103" s="114" t="n">
        <x:f>T95*'Scenarios'!$D$12*'Scenarios'!$D$5*(1-'Scenarios'!$D$6*'Scenarios'!$D$7)</x:f>
        <x:v>11458.39935907157</x:v>
      </x:c>
      <x:c r="U103" s="114" t="n">
        <x:f>U95*'Scenarios'!$D$12*'Scenarios'!$D$5*(1-'Scenarios'!$D$6*'Scenarios'!$D$7)</x:f>
        <x:v>12425.585868685499</x:v>
      </x:c>
      <x:c r="V103" s="114" t="n">
        <x:f>V95*'Scenarios'!$D$12*'Scenarios'!$D$5*(1-'Scenarios'!$D$6*'Scenarios'!$D$7)</x:f>
        <x:v>13378.264580655217</x:v>
      </x:c>
      <x:c r="W103" s="114" t="n">
        <x:f>W95*'Scenarios'!$D$12*'Scenarios'!$D$5*(1-'Scenarios'!$D$6*'Scenarios'!$D$7)</x:f>
        <x:v>14601.418736945388</x:v>
      </x:c>
      <x:c r="X103" s="114" t="n">
        <x:f>X95*'Scenarios'!$D$12*'Scenarios'!$D$5*(1-'Scenarios'!$D$6*'Scenarios'!$D$7)</x:f>
        <x:v>15806.225580891205</x:v>
      </x:c>
      <x:c r="Y103" s="114" t="n">
        <x:f>Y95*'Scenarios'!$D$12*'Scenarios'!$D$5*(1-'Scenarios'!$D$6*'Scenarios'!$D$7)</x:f>
        <x:v>16992.960322177838</x:v>
      </x:c>
      <x:c r="Z103" s="114" t="n">
        <x:f>Z95*'Scenarios'!$D$12*'Scenarios'!$D$5*(1-'Scenarios'!$D$6*'Scenarios'!$D$7)</x:f>
        <x:v>18161.89404234517</x:v>
      </x:c>
      <x:c r="AA103" s="114" t="n">
        <x:f>AA95*'Scenarios'!$D$12*'Scenarios'!$D$5*(1-'Scenarios'!$D$6*'Scenarios'!$D$7)</x:f>
        <x:v>19313.29375670999</x:v>
      </x:c>
      <x:c r="AB103" s="114" t="n">
        <x:f>AB95*'Scenarios'!$D$12*'Scenarios'!$D$5*(1-'Scenarios'!$D$6*'Scenarios'!$D$7)</x:f>
        <x:v>20447.422475359337</x:v>
      </x:c>
      <x:c r="AC103" s="114" t="n">
        <x:f>AC95*'Scenarios'!$D$12*'Scenarios'!$D$5*(1-'Scenarios'!$D$6*'Scenarios'!$D$7)</x:f>
        <x:v>21849.304888228948</x:v>
      </x:c>
      <x:c r="AD103" s="114" t="n">
        <x:f>AD95*'Scenarios'!$D$12*'Scenarios'!$D$5*(1-'Scenarios'!$D$6*'Scenarios'!$D$7)</x:f>
        <x:v>23230.159064905518</x:v>
      </x:c>
      <x:c r="AE103" s="114" t="n">
        <x:f>AE95*'Scenarios'!$D$12*'Scenarios'!$D$5*(1-'Scenarios'!$D$6*'Scenarios'!$D$7)</x:f>
        <x:v>24590.300428931936</x:v>
      </x:c>
      <x:c r="AF103" s="114" t="n">
        <x:f>AF95*'Scenarios'!$D$12*'Scenarios'!$D$5*(1-'Scenarios'!$D$6*'Scenarios'!$D$7)</x:f>
        <x:v>25930.03967249796</x:v>
      </x:c>
      <x:c r="AG103" s="114" t="n">
        <x:f>AG95*'Scenarios'!$D$12*'Scenarios'!$D$5*(1-'Scenarios'!$D$6*'Scenarios'!$D$7)</x:f>
        <x:v>27249.68282741049</x:v>
      </x:c>
      <x:c r="AH103" s="114" t="n">
        <x:f>AH95*'Scenarios'!$D$12*'Scenarios'!$D$5*(1-'Scenarios'!$D$6*'Scenarios'!$D$7)</x:f>
        <x:v>28549.531334999334</x:v>
      </x:c>
      <x:c r="AI103" s="114" t="n">
        <x:f>AI95*'Scenarios'!$D$12*'Scenarios'!$D$5*(1-'Scenarios'!$D$6*'Scenarios'!$D$7)</x:f>
        <x:v>29829.882114974345</x:v>
      </x:c>
      <x:c r="AJ103" s="114" t="n">
        <x:f>AJ95*'Scenarios'!$D$12*'Scenarios'!$D$5*(1-'Scenarios'!$D$6*'Scenarios'!$D$7)</x:f>
        <x:v>31091.02763324973</x:v>
      </x:c>
      <x:c r="AK103" s="114" t="n">
        <x:f>AK95*'Scenarios'!$D$12*'Scenarios'!$D$5*(1-'Scenarios'!$D$6*'Scenarios'!$D$7)</x:f>
        <x:v>32333.255968750986</x:v>
      </x:c>
      <x:c r="AL103" s="114" t="n">
        <x:f>AL95*'Scenarios'!$D$12*'Scenarios'!$D$5*(1-'Scenarios'!$D$6*'Scenarios'!$D$7)</x:f>
        <x:v>33556.850879219724</x:v>
      </x:c>
    </x:row>
    <x:row r="104">
      <x:c r="A104" s="84" t="str">
        <x:v>Scale recurring revenue</x:v>
      </x:c>
      <x:c r="B104" s="84" t="str">
        <x:v>$</x:v>
      </x:c>
      <x:c r="C104" s="114" t="n">
        <x:f>C96*'Scenarios'!$D$13*'Scenarios'!$D$5*(1-'Scenarios'!$D$6*'Scenarios'!$D$7)</x:f>
        <x:v>0</x:v>
      </x:c>
      <x:c r="D104" s="114" t="n">
        <x:f>D96*'Scenarios'!$D$13*'Scenarios'!$D$5*(1-'Scenarios'!$D$6*'Scenarios'!$D$7)</x:f>
        <x:v>0</x:v>
      </x:c>
      <x:c r="E104" s="114" t="n">
        <x:f>E96*'Scenarios'!$D$13*'Scenarios'!$D$5*(1-'Scenarios'!$D$6*'Scenarios'!$D$7)</x:f>
        <x:v>156.62109375000003</x:v>
      </x:c>
      <x:c r="F104" s="114" t="n">
        <x:f>F96*'Scenarios'!$D$13*'Scenarios'!$D$5*(1-'Scenarios'!$D$6*'Scenarios'!$D$7)</x:f>
        <x:v>310.89287109375005</x:v>
      </x:c>
      <x:c r="G104" s="114" t="n">
        <x:f>G96*'Scenarios'!$D$13*'Scenarios'!$D$5*(1-'Scenarios'!$D$6*'Scenarios'!$D$7)</x:f>
        <x:v>462.8505717773439</x:v>
      </x:c>
      <x:c r="H104" s="114" t="n">
        <x:f>H96*'Scenarios'!$D$13*'Scenarios'!$D$5*(1-'Scenarios'!$D$6*'Scenarios'!$D$7)</x:f>
        <x:v>773.8960944506837</x:v>
      </x:c>
      <x:c r="I104" s="114" t="n">
        <x:f>I96*'Scenarios'!$D$13*'Scenarios'!$D$5*(1-'Scenarios'!$D$6*'Scenarios'!$D$7)</x:f>
        <x:v>1080.2759342839236</x:v>
      </x:c>
      <x:c r="J104" s="114" t="n">
        <x:f>J96*'Scenarios'!$D$13*'Scenarios'!$D$5*(1-'Scenarios'!$D$6*'Scenarios'!$D$7)</x:f>
        <x:v>1382.0600765196648</x:v>
      </x:c>
      <x:c r="K104" s="114" t="n">
        <x:f>K96*'Scenarios'!$D$13*'Scenarios'!$D$5*(1-'Scenarios'!$D$6*'Scenarios'!$D$7)</x:f>
        <x:v>1679.3174566218695</x:v>
      </x:c>
      <x:c r="L104" s="114" t="n">
        <x:f>L96*'Scenarios'!$D$13*'Scenarios'!$D$5*(1-'Scenarios'!$D$6*'Scenarios'!$D$7)</x:f>
        <x:v>1972.1159760225414</x:v>
      </x:c>
      <x:c r="M104" s="114" t="n">
        <x:f>M96*'Scenarios'!$D$13*'Scenarios'!$D$5*(1-'Scenarios'!$D$6*'Scenarios'!$D$7)</x:f>
        <x:v>2260.5225176322037</x:v>
      </x:c>
      <x:c r="N104" s="114" t="n">
        <x:f>N96*'Scenarios'!$D$13*'Scenarios'!$D$5*(1-'Scenarios'!$D$6*'Scenarios'!$D$7)</x:f>
        <x:v>2544.6029611177205</x:v>
      </x:c>
      <x:c r="O104" s="114" t="n">
        <x:f>O96*'Scenarios'!$D$13*'Scenarios'!$D$5*(1-'Scenarios'!$D$6*'Scenarios'!$D$7)</x:f>
        <x:v>2824.422197950954</x:v>
      </x:c>
      <x:c r="P104" s="114" t="n">
        <x:f>P96*'Scenarios'!$D$13*'Scenarios'!$D$5*(1-'Scenarios'!$D$6*'Scenarios'!$D$7)</x:f>
        <x:v>3100.0441462316903</x:v>
      </x:c>
      <x:c r="Q104" s="114" t="n">
        <x:f>Q96*'Scenarios'!$D$13*'Scenarios'!$D$5*(1-'Scenarios'!$D$6*'Scenarios'!$D$7)</x:f>
        <x:v>3528.1528590382145</x:v>
      </x:c>
      <x:c r="R104" s="114" t="n">
        <x:f>R96*'Scenarios'!$D$13*'Scenarios'!$D$5*(1-'Scenarios'!$D$6*'Scenarios'!$D$7)</x:f>
        <x:v>3949.8399411526416</x:v>
      </x:c>
      <x:c r="S104" s="114" t="n">
        <x:f>S96*'Scenarios'!$D$13*'Scenarios'!$D$5*(1-'Scenarios'!$D$6*'Scenarios'!$D$7)</x:f>
        <x:v>4365.201717035352</x:v>
      </x:c>
      <x:c r="T104" s="114" t="n">
        <x:f>T96*'Scenarios'!$D$13*'Scenarios'!$D$5*(1-'Scenarios'!$D$6*'Scenarios'!$D$7)</x:f>
        <x:v>4774.333066279822</x:v>
      </x:c>
      <x:c r="U104" s="114" t="n">
        <x:f>U96*'Scenarios'!$D$13*'Scenarios'!$D$5*(1-'Scenarios'!$D$6*'Scenarios'!$D$7)</x:f>
        <x:v>5177.327445285624</x:v>
      </x:c>
      <x:c r="V104" s="114" t="n">
        <x:f>V96*'Scenarios'!$D$13*'Scenarios'!$D$5*(1-'Scenarios'!$D$6*'Scenarios'!$D$7)</x:f>
        <x:v>5574.27690860634</x:v>
      </x:c>
      <x:c r="W104" s="114" t="n">
        <x:f>W96*'Scenarios'!$D$13*'Scenarios'!$D$5*(1-'Scenarios'!$D$6*'Scenarios'!$D$7)</x:f>
        <x:v>6083.924473727245</x:v>
      </x:c>
      <x:c r="X104" s="114" t="n">
        <x:f>X96*'Scenarios'!$D$13*'Scenarios'!$D$5*(1-'Scenarios'!$D$6*'Scenarios'!$D$7)</x:f>
        <x:v>6585.927325371335</x:v>
      </x:c>
      <x:c r="Y104" s="114" t="n">
        <x:f>Y96*'Scenarios'!$D$13*'Scenarios'!$D$5*(1-'Scenarios'!$D$6*'Scenarios'!$D$7)</x:f>
        <x:v>7080.4001342407655</x:v>
      </x:c>
      <x:c r="Z104" s="114" t="n">
        <x:f>Z96*'Scenarios'!$D$13*'Scenarios'!$D$5*(1-'Scenarios'!$D$6*'Scenarios'!$D$7)</x:f>
        <x:v>7567.455850977155</x:v>
      </x:c>
      <x:c r="AA104" s="114" t="n">
        <x:f>AA96*'Scenarios'!$D$13*'Scenarios'!$D$5*(1-'Scenarios'!$D$6*'Scenarios'!$D$7)</x:f>
        <x:v>8047.2057319624955</x:v>
      </x:c>
      <x:c r="AB104" s="114" t="n">
        <x:f>AB96*'Scenarios'!$D$13*'Scenarios'!$D$5*(1-'Scenarios'!$D$6*'Scenarios'!$D$7)</x:f>
        <x:v>8519.759364733058</x:v>
      </x:c>
      <x:c r="AC104" s="114" t="n">
        <x:f>AC96*'Scenarios'!$D$13*'Scenarios'!$D$5*(1-'Scenarios'!$D$6*'Scenarios'!$D$7)</x:f>
        <x:v>9103.877036762064</x:v>
      </x:c>
      <x:c r="AD104" s="114" t="n">
        <x:f>AD96*'Scenarios'!$D$13*'Scenarios'!$D$5*(1-'Scenarios'!$D$6*'Scenarios'!$D$7)</x:f>
        <x:v>9679.232943710633</x:v>
      </x:c>
      <x:c r="AE104" s="114" t="n">
        <x:f>AE96*'Scenarios'!$D$13*'Scenarios'!$D$5*(1-'Scenarios'!$D$6*'Scenarios'!$D$7)</x:f>
        <x:v>10245.958512054973</x:v>
      </x:c>
      <x:c r="AF104" s="114" t="n">
        <x:f>AF96*'Scenarios'!$D$13*'Scenarios'!$D$5*(1-'Scenarios'!$D$6*'Scenarios'!$D$7)</x:f>
        <x:v>10804.18319687415</x:v>
      </x:c>
      <x:c r="AG104" s="114" t="n">
        <x:f>AG96*'Scenarios'!$D$13*'Scenarios'!$D$5*(1-'Scenarios'!$D$6*'Scenarios'!$D$7)</x:f>
        <x:v>11354.034511421036</x:v>
      </x:c>
      <x:c r="AH104" s="114" t="n">
        <x:f>AH96*'Scenarios'!$D$13*'Scenarios'!$D$5*(1-'Scenarios'!$D$6*'Scenarios'!$D$7)</x:f>
        <x:v>11895.638056249723</x:v>
      </x:c>
      <x:c r="AI104" s="114" t="n">
        <x:f>AI96*'Scenarios'!$D$13*'Scenarios'!$D$5*(1-'Scenarios'!$D$6*'Scenarios'!$D$7)</x:f>
        <x:v>12429.117547905977</x:v>
      </x:c>
      <x:c r="AJ104" s="114" t="n">
        <x:f>AJ96*'Scenarios'!$D$13*'Scenarios'!$D$5*(1-'Scenarios'!$D$6*'Scenarios'!$D$7)</x:f>
        <x:v>12954.594847187387</x:v>
      </x:c>
      <x:c r="AK104" s="114" t="n">
        <x:f>AK96*'Scenarios'!$D$13*'Scenarios'!$D$5*(1-'Scenarios'!$D$6*'Scenarios'!$D$7)</x:f>
        <x:v>13472.189986979578</x:v>
      </x:c>
      <x:c r="AL104" s="114" t="n">
        <x:f>AL96*'Scenarios'!$D$13*'Scenarios'!$D$5*(1-'Scenarios'!$D$6*'Scenarios'!$D$7)</x:f>
        <x:v>13982.021199674886</x:v>
      </x:c>
    </x:row>
    <x:row r="105">
      <x:c r="A105" s="84" t="str">
        <x:v>Expansion revenue</x:v>
      </x:c>
      <x:c r="B105" s="84" t="str">
        <x:v>$</x:v>
      </x:c>
      <x:c r="C105" s="114" t="n">
        <x:f>C97*'Scenarios'!$D$20*'Scenarios'!$D$5*(1-'Scenarios'!$D$6*'Scenarios'!$D$7)</x:f>
        <x:v>0</x:v>
      </x:c>
      <x:c r="D105" s="114" t="n">
        <x:f>D97*'Scenarios'!$D$20*'Scenarios'!$D$5*(1-'Scenarios'!$D$6*'Scenarios'!$D$7)</x:f>
        <x:v>0</x:v>
      </x:c>
      <x:c r="E105" s="114" t="n">
        <x:f>E97*'Scenarios'!$D$20*'Scenarios'!$D$5*(1-'Scenarios'!$D$6*'Scenarios'!$D$7)</x:f>
        <x:v>17.40234375</x:v>
      </x:c>
      <x:c r="F105" s="114" t="n">
        <x:f>F97*'Scenarios'!$D$20*'Scenarios'!$D$5*(1-'Scenarios'!$D$6*'Scenarios'!$D$7)</x:f>
        <x:v>34.54365234375001</x:v>
      </x:c>
      <x:c r="G105" s="114" t="n">
        <x:f>G97*'Scenarios'!$D$20*'Scenarios'!$D$5*(1-'Scenarios'!$D$6*'Scenarios'!$D$7)</x:f>
        <x:v>51.42784130859376</x:v>
      </x:c>
      <x:c r="H105" s="114" t="n">
        <x:f>H97*'Scenarios'!$D$20*'Scenarios'!$D$5*(1-'Scenarios'!$D$6*'Scenarios'!$D$7)</x:f>
        <x:v>85.98845493896486</x:v>
      </x:c>
      <x:c r="I105" s="114" t="n">
        <x:f>I97*'Scenarios'!$D$20*'Scenarios'!$D$5*(1-'Scenarios'!$D$6*'Scenarios'!$D$7)</x:f>
        <x:v>120.03065936488039</x:v>
      </x:c>
      <x:c r="J105" s="114" t="n">
        <x:f>J97*'Scenarios'!$D$20*'Scenarios'!$D$5*(1-'Scenarios'!$D$6*'Scenarios'!$D$7)</x:f>
        <x:v>153.5622307244072</x:v>
      </x:c>
      <x:c r="K105" s="114" t="n">
        <x:f>K97*'Scenarios'!$D$20*'Scenarios'!$D$5*(1-'Scenarios'!$D$6*'Scenarios'!$D$7)</x:f>
        <x:v>186.59082851354108</x:v>
      </x:c>
      <x:c r="L105" s="114" t="n">
        <x:f>L97*'Scenarios'!$D$20*'Scenarios'!$D$5*(1-'Scenarios'!$D$6*'Scenarios'!$D$7)</x:f>
        <x:v>219.123997335838</x:v>
      </x:c>
      <x:c r="M105" s="114" t="n">
        <x:f>M97*'Scenarios'!$D$20*'Scenarios'!$D$5*(1-'Scenarios'!$D$6*'Scenarios'!$D$7)</x:f>
        <x:v>251.16916862580038</x:v>
      </x:c>
      <x:c r="N105" s="114" t="n">
        <x:f>N97*'Scenarios'!$D$20*'Scenarios'!$D$5*(1-'Scenarios'!$D$6*'Scenarios'!$D$7)</x:f>
        <x:v>282.7336623464134</x:v>
      </x:c>
      <x:c r="O105" s="114" t="n">
        <x:f>O97*'Scenarios'!$D$20*'Scenarios'!$D$5*(1-'Scenarios'!$D$6*'Scenarios'!$D$7)</x:f>
        <x:v>313.8246886612171</x:v>
      </x:c>
      <x:c r="P105" s="114" t="n">
        <x:f>P97*'Scenarios'!$D$20*'Scenarios'!$D$5*(1-'Scenarios'!$D$6*'Scenarios'!$D$7)</x:f>
        <x:v>344.44934958129886</x:v>
      </x:c>
      <x:c r="Q105" s="114" t="n">
        <x:f>Q97*'Scenarios'!$D$20*'Scenarios'!$D$5*(1-'Scenarios'!$D$6*'Scenarios'!$D$7)</x:f>
        <x:v>392.0169843375794</x:v>
      </x:c>
      <x:c r="R105" s="114" t="n">
        <x:f>R97*'Scenarios'!$D$20*'Scenarios'!$D$5*(1-'Scenarios'!$D$6*'Scenarios'!$D$7)</x:f>
        <x:v>438.8711045725158</x:v>
      </x:c>
      <x:c r="S105" s="114" t="n">
        <x:f>S97*'Scenarios'!$D$20*'Scenarios'!$D$5*(1-'Scenarios'!$D$6*'Scenarios'!$D$7)</x:f>
        <x:v>485.022413003928</x:v>
      </x:c>
      <x:c r="T105" s="114" t="n">
        <x:f>T97*'Scenarios'!$D$20*'Scenarios'!$D$5*(1-'Scenarios'!$D$6*'Scenarios'!$D$7)</x:f>
        <x:v>530.4814518088691</x:v>
      </x:c>
      <x:c r="U105" s="114" t="n">
        <x:f>U97*'Scenarios'!$D$20*'Scenarios'!$D$5*(1-'Scenarios'!$D$6*'Scenarios'!$D$7)</x:f>
        <x:v>575.2586050317361</x:v>
      </x:c>
      <x:c r="V105" s="114" t="n">
        <x:f>V97*'Scenarios'!$D$20*'Scenarios'!$D$5*(1-'Scenarios'!$D$6*'Scenarios'!$D$7)</x:f>
        <x:v>619.3641009562601</x:v>
      </x:c>
      <x:c r="W105" s="114" t="n">
        <x:f>W97*'Scenarios'!$D$20*'Scenarios'!$D$5*(1-'Scenarios'!$D$6*'Scenarios'!$D$7)</x:f>
        <x:v>675.9916081919162</x:v>
      </x:c>
      <x:c r="X105" s="114" t="n">
        <x:f>X97*'Scenarios'!$D$20*'Scenarios'!$D$5*(1-'Scenarios'!$D$6*'Scenarios'!$D$7)</x:f>
        <x:v>731.7697028190375</x:v>
      </x:c>
      <x:c r="Y105" s="114" t="n">
        <x:f>Y97*'Scenarios'!$D$20*'Scenarios'!$D$5*(1-'Scenarios'!$D$6*'Scenarios'!$D$7)</x:f>
        <x:v>786.7111260267518</x:v>
      </x:c>
      <x:c r="Z105" s="114" t="n">
        <x:f>Z97*'Scenarios'!$D$20*'Scenarios'!$D$5*(1-'Scenarios'!$D$6*'Scenarios'!$D$7)</x:f>
        <x:v>840.8284278863507</x:v>
      </x:c>
      <x:c r="AA105" s="114" t="n">
        <x:f>AA97*'Scenarios'!$D$20*'Scenarios'!$D$5*(1-'Scenarios'!$D$6*'Scenarios'!$D$7)</x:f>
        <x:v>894.1339702180552</x:v>
      </x:c>
      <x:c r="AB105" s="114" t="n">
        <x:f>AB97*'Scenarios'!$D$20*'Scenarios'!$D$5*(1-'Scenarios'!$D$6*'Scenarios'!$D$7)</x:f>
        <x:v>946.6399294147843</x:v>
      </x:c>
      <x:c r="AC105" s="114" t="n">
        <x:f>AC97*'Scenarios'!$D$20*'Scenarios'!$D$5*(1-'Scenarios'!$D$6*'Scenarios'!$D$7)</x:f>
        <x:v>1011.5418929735625</x:v>
      </x:c>
      <x:c r="AD105" s="114" t="n">
        <x:f>AD97*'Scenarios'!$D$20*'Scenarios'!$D$5*(1-'Scenarios'!$D$6*'Scenarios'!$D$7)</x:f>
        <x:v>1075.470327078959</x:v>
      </x:c>
      <x:c r="AE105" s="114" t="n">
        <x:f>AE97*'Scenarios'!$D$20*'Scenarios'!$D$5*(1-'Scenarios'!$D$6*'Scenarios'!$D$7)</x:f>
        <x:v>1138.4398346727749</x:v>
      </x:c>
      <x:c r="AF105" s="114" t="n">
        <x:f>AF97*'Scenarios'!$D$20*'Scenarios'!$D$5*(1-'Scenarios'!$D$6*'Scenarios'!$D$7)</x:f>
        <x:v>1200.4647996526833</x:v>
      </x:c>
      <x:c r="AG105" s="114" t="n">
        <x:f>AG97*'Scenarios'!$D$20*'Scenarios'!$D$5*(1-'Scenarios'!$D$6*'Scenarios'!$D$7)</x:f>
        <x:v>1261.559390157893</x:v>
      </x:c>
      <x:c r="AH105" s="114" t="n">
        <x:f>AH97*'Scenarios'!$D$20*'Scenarios'!$D$5*(1-'Scenarios'!$D$6*'Scenarios'!$D$7)</x:f>
        <x:v>1321.7375618055246</x:v>
      </x:c>
      <x:c r="AI105" s="114" t="n">
        <x:f>AI97*'Scenarios'!$D$20*'Scenarios'!$D$5*(1-'Scenarios'!$D$6*'Scenarios'!$D$7)</x:f>
        <x:v>1381.013060878442</x:v>
      </x:c>
      <x:c r="AJ105" s="114" t="n">
        <x:f>AJ97*'Scenarios'!$D$20*'Scenarios'!$D$5*(1-'Scenarios'!$D$6*'Scenarios'!$D$7)</x:f>
        <x:v>1439.3994274652657</x:v>
      </x:c>
      <x:c r="AK105" s="114" t="n">
        <x:f>AK97*'Scenarios'!$D$20*'Scenarios'!$D$5*(1-'Scenarios'!$D$6*'Scenarios'!$D$7)</x:f>
        <x:v>1496.9099985532866</x:v>
      </x:c>
      <x:c r="AL105" s="114" t="n">
        <x:f>AL97*'Scenarios'!$D$20*'Scenarios'!$D$5*(1-'Scenarios'!$D$6*'Scenarios'!$D$7)</x:f>
        <x:v>1553.5579110749875</x:v>
      </x:c>
    </x:row>
    <x:row r="106">
      <x:c r="A106" s="84" t="str">
        <x:v>Partner enablement revenue</x:v>
      </x:c>
      <x:c r="B106" s="84" t="str">
        <x:v>$</x:v>
      </x:c>
      <x:c r="C106" s="114" t="n">
        <x:f>C98*'Scenarios'!$D$24*'Scenarios'!$D$5</x:f>
        <x:v>625</x:v>
      </x:c>
      <x:c r="D106" s="114" t="n">
        <x:f>D98*'Scenarios'!$D$24*'Scenarios'!$D$5</x:f>
        <x:v>625</x:v>
      </x:c>
      <x:c r="E106" s="114" t="n">
        <x:f>E98*'Scenarios'!$D$24*'Scenarios'!$D$5</x:f>
        <x:v>625</x:v>
      </x:c>
      <x:c r="F106" s="114" t="n">
        <x:f>F98*'Scenarios'!$D$24*'Scenarios'!$D$5</x:f>
        <x:v>625</x:v>
      </x:c>
      <x:c r="G106" s="114" t="n">
        <x:f>G98*'Scenarios'!$D$24*'Scenarios'!$D$5</x:f>
        <x:v>625</x:v>
      </x:c>
      <x:c r="H106" s="114" t="n">
        <x:f>H98*'Scenarios'!$D$24*'Scenarios'!$D$5</x:f>
        <x:v>625</x:v>
      </x:c>
      <x:c r="I106" s="114" t="n">
        <x:f>I98*'Scenarios'!$D$24*'Scenarios'!$D$5</x:f>
        <x:v>625</x:v>
      </x:c>
      <x:c r="J106" s="114" t="n">
        <x:f>J98*'Scenarios'!$D$24*'Scenarios'!$D$5</x:f>
        <x:v>625</x:v>
      </x:c>
      <x:c r="K106" s="114" t="n">
        <x:f>K98*'Scenarios'!$D$24*'Scenarios'!$D$5</x:f>
        <x:v>625</x:v>
      </x:c>
      <x:c r="L106" s="114" t="n">
        <x:f>L98*'Scenarios'!$D$24*'Scenarios'!$D$5</x:f>
        <x:v>625</x:v>
      </x:c>
      <x:c r="M106" s="114" t="n">
        <x:f>M98*'Scenarios'!$D$24*'Scenarios'!$D$5</x:f>
        <x:v>625</x:v>
      </x:c>
      <x:c r="N106" s="114" t="n">
        <x:f>N98*'Scenarios'!$D$24*'Scenarios'!$D$5</x:f>
        <x:v>625</x:v>
      </x:c>
      <x:c r="O106" s="114" t="n">
        <x:f>O98*'Scenarios'!$D$24*'Scenarios'!$D$5</x:f>
        <x:v>625</x:v>
      </x:c>
      <x:c r="P106" s="114" t="n">
        <x:f>P98*'Scenarios'!$D$24*'Scenarios'!$D$5</x:f>
        <x:v>625</x:v>
      </x:c>
      <x:c r="Q106" s="114" t="n">
        <x:f>Q98*'Scenarios'!$D$24*'Scenarios'!$D$5</x:f>
        <x:v>625</x:v>
      </x:c>
      <x:c r="R106" s="114" t="n">
        <x:f>R98*'Scenarios'!$D$24*'Scenarios'!$D$5</x:f>
        <x:v>625</x:v>
      </x:c>
      <x:c r="S106" s="114" t="n">
        <x:f>S98*'Scenarios'!$D$24*'Scenarios'!$D$5</x:f>
        <x:v>625</x:v>
      </x:c>
      <x:c r="T106" s="114" t="n">
        <x:f>T98*'Scenarios'!$D$24*'Scenarios'!$D$5</x:f>
        <x:v>625</x:v>
      </x:c>
      <x:c r="U106" s="114" t="n">
        <x:f>U98*'Scenarios'!$D$24*'Scenarios'!$D$5</x:f>
        <x:v>625</x:v>
      </x:c>
      <x:c r="V106" s="114" t="n">
        <x:f>V98*'Scenarios'!$D$24*'Scenarios'!$D$5</x:f>
        <x:v>625</x:v>
      </x:c>
      <x:c r="W106" s="114" t="n">
        <x:f>W98*'Scenarios'!$D$24*'Scenarios'!$D$5</x:f>
        <x:v>625</x:v>
      </x:c>
      <x:c r="X106" s="114" t="n">
        <x:f>X98*'Scenarios'!$D$24*'Scenarios'!$D$5</x:f>
        <x:v>625</x:v>
      </x:c>
      <x:c r="Y106" s="114" t="n">
        <x:f>Y98*'Scenarios'!$D$24*'Scenarios'!$D$5</x:f>
        <x:v>625</x:v>
      </x:c>
      <x:c r="Z106" s="114" t="n">
        <x:f>Z98*'Scenarios'!$D$24*'Scenarios'!$D$5</x:f>
        <x:v>625</x:v>
      </x:c>
      <x:c r="AA106" s="114" t="n">
        <x:f>AA98*'Scenarios'!$D$24*'Scenarios'!$D$5</x:f>
        <x:v>625</x:v>
      </x:c>
      <x:c r="AB106" s="114" t="n">
        <x:f>AB98*'Scenarios'!$D$24*'Scenarios'!$D$5</x:f>
        <x:v>625</x:v>
      </x:c>
      <x:c r="AC106" s="114" t="n">
        <x:f>AC98*'Scenarios'!$D$24*'Scenarios'!$D$5</x:f>
        <x:v>625</x:v>
      </x:c>
      <x:c r="AD106" s="114" t="n">
        <x:f>AD98*'Scenarios'!$D$24*'Scenarios'!$D$5</x:f>
        <x:v>625</x:v>
      </x:c>
      <x:c r="AE106" s="114" t="n">
        <x:f>AE98*'Scenarios'!$D$24*'Scenarios'!$D$5</x:f>
        <x:v>625</x:v>
      </x:c>
      <x:c r="AF106" s="114" t="n">
        <x:f>AF98*'Scenarios'!$D$24*'Scenarios'!$D$5</x:f>
        <x:v>625</x:v>
      </x:c>
      <x:c r="AG106" s="114" t="n">
        <x:f>AG98*'Scenarios'!$D$24*'Scenarios'!$D$5</x:f>
        <x:v>625</x:v>
      </x:c>
      <x:c r="AH106" s="114" t="n">
        <x:f>AH98*'Scenarios'!$D$24*'Scenarios'!$D$5</x:f>
        <x:v>625</x:v>
      </x:c>
      <x:c r="AI106" s="114" t="n">
        <x:f>AI98*'Scenarios'!$D$24*'Scenarios'!$D$5</x:f>
        <x:v>625</x:v>
      </x:c>
      <x:c r="AJ106" s="114" t="n">
        <x:f>AJ98*'Scenarios'!$D$24*'Scenarios'!$D$5</x:f>
        <x:v>625</x:v>
      </x:c>
      <x:c r="AK106" s="114" t="n">
        <x:f>AK98*'Scenarios'!$D$24*'Scenarios'!$D$5</x:f>
        <x:v>625</x:v>
      </x:c>
      <x:c r="AL106" s="114" t="n">
        <x:f>AL98*'Scenarios'!$D$24*'Scenarios'!$D$5</x:f>
        <x:v>625</x:v>
      </x:c>
    </x:row>
    <x:row r="107">
      <x:c r="A107" s="84" t="str">
        <x:v>Monthly recurring revenue (MRR)</x:v>
      </x:c>
      <x:c r="B107" s="84" t="str">
        <x:v>$</x:v>
      </x:c>
      <x:c r="C107" s="115" t="n">
        <x:f>SUM(C102:C104)</x:f>
        <x:v>0</x:v>
      </x:c>
      <x:c r="D107" s="115" t="n">
        <x:f>SUM(D102:D104)</x:f>
        <x:v>0</x:v>
      </x:c>
      <x:c r="E107" s="115" t="n">
        <x:f>SUM(E102:E104)</x:f>
        <x:v>619.5234375000001</x:v>
      </x:c>
      <x:c r="F107" s="115" t="n">
        <x:f>SUM(F102:F104)</x:f>
        <x:v>1229.7540234375</x:v>
      </x:c>
      <x:c r="G107" s="115" t="n">
        <x:f>SUM(G102:G104)</x:f>
        <x:v>1830.831150585938</x:v>
      </x:c>
      <x:c r="H107" s="115" t="n">
        <x:f>SUM(H102:H104)</x:f>
        <x:v>3061.1889958271486</x:v>
      </x:c>
      <x:c r="I107" s="115" t="n">
        <x:f>SUM(I102:I104)</x:f>
        <x:v>4273.091473389742</x:v>
      </x:c>
      <x:c r="J107" s="115" t="n">
        <x:f>SUM(J102:J104)</x:f>
        <x:v>5466.815413788896</x:v>
      </x:c>
      <x:c r="K107" s="115" t="n">
        <x:f>SUM(K102:K104)</x:f>
        <x:v>6642.633495082061</x:v>
      </x:c>
      <x:c r="L107" s="115" t="n">
        <x:f>SUM(L102:L104)</x:f>
        <x:v>7800.814305155831</x:v>
      </x:c>
      <x:c r="M107" s="115" t="n">
        <x:f>SUM(M102:M104)</x:f>
        <x:v>8941.622403078494</x:v>
      </x:c>
      <x:c r="N107" s="115" t="n">
        <x:f>SUM(N102:N104)</x:f>
        <x:v>10065.318379532315</x:v>
      </x:c>
      <x:c r="O107" s="115" t="n">
        <x:f>SUM(O102:O104)</x:f>
        <x:v>11172.15891633933</x:v>
      </x:c>
      <x:c r="P107" s="115" t="n">
        <x:f>SUM(P102:P104)</x:f>
        <x:v>12262.396845094241</x:v>
      </x:c>
      <x:c r="Q107" s="115" t="n">
        <x:f>SUM(Q102:Q104)</x:f>
        <x:v>13955.804642417828</x:v>
      </x:c>
      <x:c r="R107" s="115" t="n">
        <x:f>SUM(R102:R104)</x:f>
        <x:v>15623.81132278156</x:v>
      </x:c>
      <x:c r="S107" s="115" t="n">
        <x:f>SUM(S102:S104)</x:f>
        <x:v>17266.797902939834</x:v>
      </x:c>
      <x:c r="T107" s="115" t="n">
        <x:f>SUM(T102:T104)</x:f>
        <x:v>18885.139684395737</x:v>
      </x:c>
      <x:c r="U107" s="115" t="n">
        <x:f>SUM(U102:U104)</x:f>
        <x:v>20479.206339129803</x:v>
      </x:c>
      <x:c r="V107" s="115" t="n">
        <x:f>SUM(V102:V104)</x:f>
        <x:v>22049.361994042854</x:v>
      </x:c>
      <x:c r="W107" s="115" t="n">
        <x:f>SUM(W102:W104)</x:f>
        <x:v>24065.301251632216</x:v>
      </x:c>
      <x:c r="X107" s="115" t="n">
        <x:f>SUM(X102:X104)</x:f>
        <x:v>26051.001420357727</x:v>
      </x:c>
      <x:c r="Y107" s="115" t="n">
        <x:f>SUM(Y102:Y104)</x:f>
        <x:v>28006.916086552363</x:v>
      </x:c>
      <x:c r="Z107" s="115" t="n">
        <x:f>SUM(Z102:Z104)</x:f>
        <x:v>29933.49203275408</x:v>
      </x:c>
      <x:c r="AA107" s="115" t="n">
        <x:f>SUM(AA102:AA104)</x:f>
        <x:v>31831.16933976276</x:v>
      </x:c>
      <x:c r="AB107" s="115" t="n">
        <x:f>SUM(AB102:AB104)</x:f>
        <x:v>33700.38148716632</x:v>
      </x:c>
      <x:c r="AC107" s="115" t="n">
        <x:f>SUM(AC102:AC104)</x:f>
        <x:v>36010.89138985882</x:v>
      </x:c>
      <x:c r="AD107" s="115" t="n">
        <x:f>SUM(AD102:AD104)</x:f>
        <x:v>38286.743644010945</x:v>
      </x:c>
      <x:c r="AE107" s="115" t="n">
        <x:f>SUM(AE102:AE104)</x:f>
        <x:v>40528.45811435078</x:v>
      </x:c>
      <x:c r="AF107" s="115" t="n">
        <x:f>SUM(AF102:AF104)</x:f>
        <x:v>42736.54686763552</x:v>
      </x:c>
      <x:c r="AG107" s="115" t="n">
        <x:f>SUM(AG102:AG104)</x:f>
        <x:v>44911.51428962099</x:v>
      </x:c>
      <x:c r="AH107" s="115" t="n">
        <x:f>SUM(AH102:AH104)</x:f>
        <x:v>47053.85720027668</x:v>
      </x:c>
      <x:c r="AI107" s="115" t="n">
        <x:f>SUM(AI102:AI104)</x:f>
        <x:v>49164.06496727253</x:v>
      </x:c>
      <x:c r="AJ107" s="115" t="n">
        <x:f>SUM(AJ102:AJ104)</x:f>
        <x:v>51242.61961776344</x:v>
      </x:c>
      <x:c r="AK107" s="115" t="n">
        <x:f>SUM(AK102:AK104)</x:f>
        <x:v>53289.995948497</x:v>
      </x:c>
      <x:c r="AL107" s="115" t="n">
        <x:f>SUM(AL102:AL104)</x:f>
        <x:v>55306.66163426955</x:v>
      </x:c>
    </x:row>
    <x:row r="108">
      <x:c r="A108" s="84" t="str">
        <x:v>Total revenue</x:v>
      </x:c>
      <x:c r="B108" s="84" t="str">
        <x:v>$</x:v>
      </x:c>
      <x:c r="C108" s="114" t="n">
        <x:f>SUM(C100:C106)</x:f>
        <x:v>1398.4375</x:v>
      </x:c>
      <x:c r="D108" s="114" t="n">
        <x:f>SUM(D100:D106)</x:f>
        <x:v>3161.875</x:v>
      </x:c>
      <x:c r="E108" s="114" t="n">
        <x:f>SUM(E100:E106)</x:f>
        <x:v>3798.80078125</x:v>
      </x:c>
      <x:c r="F108" s="114" t="n">
        <x:f>SUM(F100:F106)</x:f>
        <x:v>5223.04767578125</x:v>
      </x:c>
      <x:c r="G108" s="114" t="n">
        <x:f>SUM(G100:G106)</x:f>
        <x:v>7657.883991894532</x:v>
      </x:c>
      <x:c r="H108" s="114" t="n">
        <x:f>SUM(H100:H106)</x:f>
        <x:v>8922.802450766112</x:v>
      </x:c>
      <x:c r="I108" s="114" t="n">
        <x:f>SUM(I100:I106)</x:f>
        <x:v>10168.74713275462</x:v>
      </x:c>
      <x:c r="J108" s="114" t="n">
        <x:f>SUM(J100:J106)</x:f>
        <x:v>11396.002644513303</x:v>
      </x:c>
      <x:c r="K108" s="114" t="n">
        <x:f>SUM(K100:K106)</x:f>
        <x:v>12604.849323595601</x:v>
      </x:c>
      <x:c r="L108" s="114" t="n">
        <x:f>SUM(L100:L106)</x:f>
        <x:v>13795.563302491671</x:v>
      </x:c>
      <x:c r="M108" s="114" t="n">
        <x:f>SUM(M100:M106)</x:f>
        <x:v>14968.416571704294</x:v>
      </x:c>
      <x:c r="N108" s="114" t="n">
        <x:f>SUM(N100:N106)</x:f>
        <x:v>16123.677041878727</x:v>
      </x:c>
      <x:c r="O108" s="114" t="n">
        <x:f>SUM(O100:O106)</x:f>
        <x:v>18035.046105000547</x:v>
      </x:c>
      <x:c r="P108" s="114" t="n">
        <x:f>SUM(P100:P106)</x:f>
        <x:v>20919.34619467554</x:v>
      </x:c>
      <x:c r="Q108" s="114" t="n">
        <x:f>SUM(Q100:Q106)</x:f>
        <x:v>22660.321626755405</x:v>
      </x:c>
      <x:c r="R108" s="114" t="n">
        <x:f>SUM(R100:R106)</x:f>
        <x:v>24375.182427354073</x:v>
      </x:c>
      <x:c r="S108" s="114" t="n">
        <x:f>SUM(S100:S106)</x:f>
        <x:v>26064.32031594376</x:v>
      </x:c>
      <x:c r="T108" s="114" t="n">
        <x:f>SUM(T100:T106)</x:f>
        <x:v>27728.121136204605</x:v>
      </x:c>
      <x:c r="U108" s="114" t="n">
        <x:f>SUM(U100:U106)</x:f>
        <x:v>29952.90244416154</x:v>
      </x:c>
      <x:c r="V108" s="114" t="n">
        <x:f>SUM(V100:V106)</x:f>
        <x:v>32903.10109499912</x:v>
      </x:c>
      <x:c r="W108" s="114" t="n">
        <x:f>SUM(W100:W106)</x:f>
        <x:v>34975.66785982413</x:v>
      </x:c>
      <x:c r="X108" s="114" t="n">
        <x:f>SUM(X100:X106)</x:f>
        <x:v>37017.14612317676</x:v>
      </x:c>
      <x:c r="Y108" s="114" t="n">
        <x:f>SUM(Y100:Y106)</x:f>
        <x:v>39028.002212579115</x:v>
      </x:c>
      <x:c r="Z108" s="114" t="n">
        <x:f>SUM(Z100:Z106)</x:f>
        <x:v>41008.695460640425</x:v>
      </x:c>
      <x:c r="AA108" s="114" t="n">
        <x:f>SUM(AA100:AA106)</x:f>
        <x:v>43545.615809980816</x:v>
      </x:c>
      <x:c r="AB108" s="114" t="n">
        <x:f>SUM(AB100:AB106)</x:f>
        <x:v>46803.2714165811</x:v>
      </x:c>
      <x:c r="AC108" s="114" t="n">
        <x:f>SUM(AC100:AC106)</x:f>
        <x:v>49178.68328283238</x:v>
      </x:c>
      <x:c r="AD108" s="114" t="n">
        <x:f>SUM(AD100:AD106)</x:f>
        <x:v>51518.46397108991</x:v>
      </x:c>
      <x:c r="AE108" s="114" t="n">
        <x:f>SUM(AE100:AE106)</x:f>
        <x:v>53823.14794902356</x:v>
      </x:c>
      <x:c r="AF108" s="114" t="n">
        <x:f>SUM(AF100:AF106)</x:f>
        <x:v>56093.26166728821</x:v>
      </x:c>
      <x:c r="AG108" s="114" t="n">
        <x:f>SUM(AG100:AG106)</x:f>
        <x:v>58329.32367977888</x:v>
      </x:c>
      <x:c r="AH108" s="114" t="n">
        <x:f>SUM(AH100:AH106)</x:f>
        <x:v>60531.8447620822</x:v>
      </x:c>
      <x:c r="AI108" s="114" t="n">
        <x:f>SUM(AI100:AI106)</x:f>
        <x:v>62701.328028150965</x:v>
      </x:c>
      <x:c r="AJ108" s="114" t="n">
        <x:f>SUM(AJ100:AJ106)</x:f>
        <x:v>64838.269045228706</x:v>
      </x:c>
      <x:c r="AK108" s="114" t="n">
        <x:f>SUM(AK100:AK106)</x:f>
        <x:v>66943.15594705027</x:v>
      </x:c>
      <x:c r="AL108" s="114" t="n">
        <x:f>SUM(AL100:AL106)</x:f>
        <x:v>69016.46954534453</x:v>
      </x:c>
    </x:row>
    <x:row r="109">
      <x:c r="A109" s="63" t="str">
        <x:v>DELIVERY CAPACITY</x:v>
      </x:c>
      <x:c r="B109" s="63" t="str"/>
      <x:c r="C109" s="112"/>
      <x:c r="D109" s="112"/>
      <x:c r="E109" s="112"/>
      <x:c r="F109" s="112"/>
      <x:c r="G109" s="112"/>
      <x:c r="H109" s="112"/>
      <x:c r="I109" s="112"/>
      <x:c r="J109" s="112"/>
      <x:c r="K109" s="112"/>
      <x:c r="L109" s="112"/>
      <x:c r="M109" s="112"/>
      <x:c r="N109" s="112"/>
      <x:c r="O109" s="112"/>
      <x:c r="P109" s="112"/>
      <x:c r="Q109" s="112"/>
      <x:c r="R109" s="112"/>
      <x:c r="S109" s="112"/>
      <x:c r="T109" s="112"/>
      <x:c r="U109" s="112"/>
      <x:c r="V109" s="112"/>
      <x:c r="W109" s="112"/>
      <x:c r="X109" s="112"/>
      <x:c r="Y109" s="112"/>
      <x:c r="Z109" s="112"/>
      <x:c r="AA109" s="112"/>
      <x:c r="AB109" s="112"/>
      <x:c r="AC109" s="112"/>
      <x:c r="AD109" s="112"/>
      <x:c r="AE109" s="112"/>
      <x:c r="AF109" s="112"/>
      <x:c r="AG109" s="112"/>
      <x:c r="AH109" s="112"/>
      <x:c r="AI109" s="112"/>
      <x:c r="AJ109" s="112"/>
      <x:c r="AK109" s="112"/>
      <x:c r="AL109" s="112"/>
    </x:row>
    <x:row r="110">
      <x:c r="A110" s="84" t="str">
        <x:v>Review hours</x:v>
      </x:c>
      <x:c r="B110" s="84" t="str">
        <x:v>hours</x:v>
      </x:c>
      <x:c r="C110" s="113" t="n">
        <x:f>C89*'Scenarios'!$D$40*'Scenarios'!$D$47</x:f>
        <x:v>2.64</x:v>
      </x:c>
      <x:c r="D110" s="113" t="n">
        <x:f>D89*'Scenarios'!$D$40*'Scenarios'!$D$47</x:f>
        <x:v>2.64</x:v>
      </x:c>
      <x:c r="E110" s="113" t="n">
        <x:f>E89*'Scenarios'!$D$40*'Scenarios'!$D$47</x:f>
        <x:v>2.64</x:v>
      </x:c>
      <x:c r="F110" s="113" t="n">
        <x:f>F89*'Scenarios'!$D$40*'Scenarios'!$D$47</x:f>
        <x:v>5.36</x:v>
      </x:c>
      <x:c r="G110" s="113" t="n">
        <x:f>G89*'Scenarios'!$D$40*'Scenarios'!$D$47</x:f>
        <x:v>5.36</x:v>
      </x:c>
      <x:c r="H110" s="113" t="n">
        <x:f>H89*'Scenarios'!$D$40*'Scenarios'!$D$47</x:f>
        <x:v>5.36</x:v>
      </x:c>
      <x:c r="I110" s="113" t="n">
        <x:f>I89*'Scenarios'!$D$40*'Scenarios'!$D$47</x:f>
        <x:v>5.36</x:v>
      </x:c>
      <x:c r="J110" s="113" t="n">
        <x:f>J89*'Scenarios'!$D$40*'Scenarios'!$D$47</x:f>
        <x:v>5.36</x:v>
      </x:c>
      <x:c r="K110" s="113" t="n">
        <x:f>K89*'Scenarios'!$D$40*'Scenarios'!$D$47</x:f>
        <x:v>5.36</x:v>
      </x:c>
      <x:c r="L110" s="113" t="n">
        <x:f>L89*'Scenarios'!$D$40*'Scenarios'!$D$47</x:f>
        <x:v>5.36</x:v>
      </x:c>
      <x:c r="M110" s="113" t="n">
        <x:f>M89*'Scenarios'!$D$40*'Scenarios'!$D$47</x:f>
        <x:v>5.36</x:v>
      </x:c>
      <x:c r="N110" s="113" t="n">
        <x:f>N89*'Scenarios'!$D$40*'Scenarios'!$D$47</x:f>
        <x:v>5.36</x:v>
      </x:c>
      <x:c r="O110" s="113" t="n">
        <x:f>O89*'Scenarios'!$D$40*'Scenarios'!$D$47</x:f>
        <x:v>8</x:v>
      </x:c>
      <x:c r="P110" s="113" t="n">
        <x:f>P89*'Scenarios'!$D$40*'Scenarios'!$D$47</x:f>
        <x:v>8</x:v>
      </x:c>
      <x:c r="Q110" s="113" t="n">
        <x:f>Q89*'Scenarios'!$D$40*'Scenarios'!$D$47</x:f>
        <x:v>8</x:v>
      </x:c>
      <x:c r="R110" s="113" t="n">
        <x:f>R89*'Scenarios'!$D$40*'Scenarios'!$D$47</x:f>
        <x:v>8</x:v>
      </x:c>
      <x:c r="S110" s="113" t="n">
        <x:f>S89*'Scenarios'!$D$40*'Scenarios'!$D$47</x:f>
        <x:v>8</x:v>
      </x:c>
      <x:c r="T110" s="113" t="n">
        <x:f>T89*'Scenarios'!$D$40*'Scenarios'!$D$47</x:f>
        <x:v>8</x:v>
      </x:c>
      <x:c r="U110" s="113" t="n">
        <x:f>U89*'Scenarios'!$D$40*'Scenarios'!$D$47</x:f>
        <x:v>10</x:v>
      </x:c>
      <x:c r="V110" s="113" t="n">
        <x:f>V89*'Scenarios'!$D$40*'Scenarios'!$D$47</x:f>
        <x:v>10</x:v>
      </x:c>
      <x:c r="W110" s="113" t="n">
        <x:f>W89*'Scenarios'!$D$40*'Scenarios'!$D$47</x:f>
        <x:v>10</x:v>
      </x:c>
      <x:c r="X110" s="113" t="n">
        <x:f>X89*'Scenarios'!$D$40*'Scenarios'!$D$47</x:f>
        <x:v>10</x:v>
      </x:c>
      <x:c r="Y110" s="113" t="n">
        <x:f>Y89*'Scenarios'!$D$40*'Scenarios'!$D$47</x:f>
        <x:v>10</x:v>
      </x:c>
      <x:c r="Z110" s="113" t="n">
        <x:f>Z89*'Scenarios'!$D$40*'Scenarios'!$D$47</x:f>
        <x:v>10</x:v>
      </x:c>
      <x:c r="AA110" s="113" t="n">
        <x:f>AA89*'Scenarios'!$D$40*'Scenarios'!$D$47</x:f>
        <x:v>12</x:v>
      </x:c>
      <x:c r="AB110" s="113" t="n">
        <x:f>AB89*'Scenarios'!$D$40*'Scenarios'!$D$47</x:f>
        <x:v>12</x:v>
      </x:c>
      <x:c r="AC110" s="113" t="n">
        <x:f>AC89*'Scenarios'!$D$40*'Scenarios'!$D$47</x:f>
        <x:v>12</x:v>
      </x:c>
      <x:c r="AD110" s="113" t="n">
        <x:f>AD89*'Scenarios'!$D$40*'Scenarios'!$D$47</x:f>
        <x:v>12</x:v>
      </x:c>
      <x:c r="AE110" s="113" t="n">
        <x:f>AE89*'Scenarios'!$D$40*'Scenarios'!$D$47</x:f>
        <x:v>12</x:v>
      </x:c>
      <x:c r="AF110" s="113" t="n">
        <x:f>AF89*'Scenarios'!$D$40*'Scenarios'!$D$47</x:f>
        <x:v>12</x:v>
      </x:c>
      <x:c r="AG110" s="113" t="n">
        <x:f>AG89*'Scenarios'!$D$40*'Scenarios'!$D$47</x:f>
        <x:v>12</x:v>
      </x:c>
      <x:c r="AH110" s="113" t="n">
        <x:f>AH89*'Scenarios'!$D$40*'Scenarios'!$D$47</x:f>
        <x:v>12</x:v>
      </x:c>
      <x:c r="AI110" s="113" t="n">
        <x:f>AI89*'Scenarios'!$D$40*'Scenarios'!$D$47</x:f>
        <x:v>12</x:v>
      </x:c>
      <x:c r="AJ110" s="113" t="n">
        <x:f>AJ89*'Scenarios'!$D$40*'Scenarios'!$D$47</x:f>
        <x:v>12</x:v>
      </x:c>
      <x:c r="AK110" s="113" t="n">
        <x:f>AK89*'Scenarios'!$D$40*'Scenarios'!$D$47</x:f>
        <x:v>12</x:v>
      </x:c>
      <x:c r="AL110" s="113" t="n">
        <x:f>AL89*'Scenarios'!$D$40*'Scenarios'!$D$47</x:f>
        <x:v>12</x:v>
      </x:c>
    </x:row>
    <x:row r="111">
      <x:c r="A111" s="84" t="str">
        <x:v>Launch hours</x:v>
      </x:c>
      <x:c r="B111" s="84" t="str">
        <x:v>hours</x:v>
      </x:c>
      <x:c r="C111" s="113" t="n">
        <x:f>C90*'Scenarios'!$D$41*'Scenarios'!$D$47</x:f>
        <x:v>0</x:v>
      </x:c>
      <x:c r="D111" s="113" t="n">
        <x:f>D90*'Scenarios'!$D$41*'Scenarios'!$D$47</x:f>
        <x:v>7.92</x:v>
      </x:c>
      <x:c r="E111" s="113" t="n">
        <x:f>E90*'Scenarios'!$D$41*'Scenarios'!$D$47</x:f>
        <x:v>7.92</x:v>
      </x:c>
      <x:c r="F111" s="113" t="n">
        <x:f>F90*'Scenarios'!$D$41*'Scenarios'!$D$47</x:f>
        <x:v>7.92</x:v>
      </x:c>
      <x:c r="G111" s="113" t="n">
        <x:f>G90*'Scenarios'!$D$41*'Scenarios'!$D$47</x:f>
        <x:v>16.080000000000002</x:v>
      </x:c>
      <x:c r="H111" s="113" t="n">
        <x:f>H90*'Scenarios'!$D$41*'Scenarios'!$D$47</x:f>
        <x:v>16.080000000000002</x:v>
      </x:c>
      <x:c r="I111" s="113" t="n">
        <x:f>I90*'Scenarios'!$D$41*'Scenarios'!$D$47</x:f>
        <x:v>16.080000000000002</x:v>
      </x:c>
      <x:c r="J111" s="113" t="n">
        <x:f>J90*'Scenarios'!$D$41*'Scenarios'!$D$47</x:f>
        <x:v>16.080000000000002</x:v>
      </x:c>
      <x:c r="K111" s="113" t="n">
        <x:f>K90*'Scenarios'!$D$41*'Scenarios'!$D$47</x:f>
        <x:v>16.080000000000002</x:v>
      </x:c>
      <x:c r="L111" s="113" t="n">
        <x:f>L90*'Scenarios'!$D$41*'Scenarios'!$D$47</x:f>
        <x:v>16.080000000000002</x:v>
      </x:c>
      <x:c r="M111" s="113" t="n">
        <x:f>M90*'Scenarios'!$D$41*'Scenarios'!$D$47</x:f>
        <x:v>16.080000000000002</x:v>
      </x:c>
      <x:c r="N111" s="113" t="n">
        <x:f>N90*'Scenarios'!$D$41*'Scenarios'!$D$47</x:f>
        <x:v>16.080000000000002</x:v>
      </x:c>
      <x:c r="O111" s="113" t="n">
        <x:f>O90*'Scenarios'!$D$41*'Scenarios'!$D$47</x:f>
        <x:v>16.080000000000002</x:v>
      </x:c>
      <x:c r="P111" s="113" t="n">
        <x:f>P90*'Scenarios'!$D$41*'Scenarios'!$D$47</x:f>
        <x:v>24</x:v>
      </x:c>
      <x:c r="Q111" s="113" t="n">
        <x:f>Q90*'Scenarios'!$D$41*'Scenarios'!$D$47</x:f>
        <x:v>24</x:v>
      </x:c>
      <x:c r="R111" s="113" t="n">
        <x:f>R90*'Scenarios'!$D$41*'Scenarios'!$D$47</x:f>
        <x:v>24</x:v>
      </x:c>
      <x:c r="S111" s="113" t="n">
        <x:f>S90*'Scenarios'!$D$41*'Scenarios'!$D$47</x:f>
        <x:v>24</x:v>
      </x:c>
      <x:c r="T111" s="113" t="n">
        <x:f>T90*'Scenarios'!$D$41*'Scenarios'!$D$47</x:f>
        <x:v>24</x:v>
      </x:c>
      <x:c r="U111" s="113" t="n">
        <x:f>U90*'Scenarios'!$D$41*'Scenarios'!$D$47</x:f>
        <x:v>24</x:v>
      </x:c>
      <x:c r="V111" s="113" t="n">
        <x:f>V90*'Scenarios'!$D$41*'Scenarios'!$D$47</x:f>
        <x:v>30</x:v>
      </x:c>
      <x:c r="W111" s="113" t="n">
        <x:f>W90*'Scenarios'!$D$41*'Scenarios'!$D$47</x:f>
        <x:v>30</x:v>
      </x:c>
      <x:c r="X111" s="113" t="n">
        <x:f>X90*'Scenarios'!$D$41*'Scenarios'!$D$47</x:f>
        <x:v>30</x:v>
      </x:c>
      <x:c r="Y111" s="113" t="n">
        <x:f>Y90*'Scenarios'!$D$41*'Scenarios'!$D$47</x:f>
        <x:v>30</x:v>
      </x:c>
      <x:c r="Z111" s="113" t="n">
        <x:f>Z90*'Scenarios'!$D$41*'Scenarios'!$D$47</x:f>
        <x:v>30</x:v>
      </x:c>
      <x:c r="AA111" s="113" t="n">
        <x:f>AA90*'Scenarios'!$D$41*'Scenarios'!$D$47</x:f>
        <x:v>30</x:v>
      </x:c>
      <x:c r="AB111" s="113" t="n">
        <x:f>AB90*'Scenarios'!$D$41*'Scenarios'!$D$47</x:f>
        <x:v>36</x:v>
      </x:c>
      <x:c r="AC111" s="113" t="n">
        <x:f>AC90*'Scenarios'!$D$41*'Scenarios'!$D$47</x:f>
        <x:v>36</x:v>
      </x:c>
      <x:c r="AD111" s="113" t="n">
        <x:f>AD90*'Scenarios'!$D$41*'Scenarios'!$D$47</x:f>
        <x:v>36</x:v>
      </x:c>
      <x:c r="AE111" s="113" t="n">
        <x:f>AE90*'Scenarios'!$D$41*'Scenarios'!$D$47</x:f>
        <x:v>36</x:v>
      </x:c>
      <x:c r="AF111" s="113" t="n">
        <x:f>AF90*'Scenarios'!$D$41*'Scenarios'!$D$47</x:f>
        <x:v>36</x:v>
      </x:c>
      <x:c r="AG111" s="113" t="n">
        <x:f>AG90*'Scenarios'!$D$41*'Scenarios'!$D$47</x:f>
        <x:v>36</x:v>
      </x:c>
      <x:c r="AH111" s="113" t="n">
        <x:f>AH90*'Scenarios'!$D$41*'Scenarios'!$D$47</x:f>
        <x:v>36</x:v>
      </x:c>
      <x:c r="AI111" s="113" t="n">
        <x:f>AI90*'Scenarios'!$D$41*'Scenarios'!$D$47</x:f>
        <x:v>36</x:v>
      </x:c>
      <x:c r="AJ111" s="113" t="n">
        <x:f>AJ90*'Scenarios'!$D$41*'Scenarios'!$D$47</x:f>
        <x:v>36</x:v>
      </x:c>
      <x:c r="AK111" s="113" t="n">
        <x:f>AK90*'Scenarios'!$D$41*'Scenarios'!$D$47</x:f>
        <x:v>36</x:v>
      </x:c>
      <x:c r="AL111" s="113" t="n">
        <x:f>AL90*'Scenarios'!$D$41*'Scenarios'!$D$47</x:f>
        <x:v>36</x:v>
      </x:c>
    </x:row>
    <x:row r="112">
      <x:c r="A112" s="84" t="str">
        <x:v>Core recurring hours</x:v>
      </x:c>
      <x:c r="B112" s="84" t="str">
        <x:v>hours</x:v>
      </x:c>
      <x:c r="C112" s="113" t="n">
        <x:f>C94*'Scenarios'!$D$42*'Scenarios'!$D$47</x:f>
        <x:v>0</x:v>
      </x:c>
      <x:c r="D112" s="113" t="n">
        <x:f>D94*'Scenarios'!$D$42*'Scenarios'!$D$47</x:f>
        <x:v>0</x:v>
      </x:c>
      <x:c r="E112" s="113" t="n">
        <x:f>E94*'Scenarios'!$D$42*'Scenarios'!$D$47</x:f>
        <x:v>0.259875</x:v>
      </x:c>
      <x:c r="F112" s="113" t="n">
        <x:f>F94*'Scenarios'!$D$42*'Scenarios'!$D$47</x:f>
        <x:v>0.5158518750000001</x:v>
      </x:c>
      <x:c r="G112" s="113" t="n">
        <x:f>G94*'Scenarios'!$D$42*'Scenarios'!$D$47</x:f>
        <x:v>0.7679890968750002</x:v>
      </x:c>
      <x:c r="H112" s="113" t="n">
        <x:f>H94*'Scenarios'!$D$42*'Scenarios'!$D$47</x:f>
        <x:v>1.2840942604218752</x:v>
      </x:c>
      <x:c r="I112" s="113" t="n">
        <x:f>I94*'Scenarios'!$D$42*'Scenarios'!$D$47</x:f>
        <x:v>1.7924578465155472</x:v>
      </x:c>
      <x:c r="J112" s="113" t="n">
        <x:f>J94*'Scenarios'!$D$42*'Scenarios'!$D$47</x:f>
        <x:v>2.2931959788178142</x:v>
      </x:c>
      <x:c r="K112" s="113" t="n">
        <x:f>K94*'Scenarios'!$D$42*'Scenarios'!$D$47</x:f>
        <x:v>2.7864230391355465</x:v>
      </x:c>
      <x:c r="L112" s="113" t="n">
        <x:f>L94*'Scenarios'!$D$42*'Scenarios'!$D$47</x:f>
        <x:v>3.2722516935485135</x:v>
      </x:c>
      <x:c r="M112" s="113" t="n">
        <x:f>M94*'Scenarios'!$D$42*'Scenarios'!$D$47</x:f>
        <x:v>3.7507929181452857</x:v>
      </x:c>
      <x:c r="N112" s="113" t="n">
        <x:f>N94*'Scenarios'!$D$42*'Scenarios'!$D$47</x:f>
        <x:v>4.222156024373106</x:v>
      </x:c>
      <x:c r="O112" s="113" t="n">
        <x:f>O94*'Scenarios'!$D$42*'Scenarios'!$D$47</x:f>
        <x:v>4.68644868400751</x:v>
      </x:c>
      <x:c r="P112" s="113" t="n">
        <x:f>P94*'Scenarios'!$D$42*'Scenarios'!$D$47</x:f>
        <x:v>5.1437769537473965</x:v>
      </x:c>
      <x:c r="Q112" s="113" t="n">
        <x:f>Q94*'Scenarios'!$D$42*'Scenarios'!$D$47</x:f>
        <x:v>5.854120299441186</x:v>
      </x:c>
      <x:c r="R112" s="113" t="n">
        <x:f>R94*'Scenarios'!$D$42*'Scenarios'!$D$47</x:f>
        <x:v>6.5538084949495685</x:v>
      </x:c>
      <x:c r="S112" s="113" t="n">
        <x:f>S94*'Scenarios'!$D$42*'Scenarios'!$D$47</x:f>
        <x:v>7.243001367525324</x:v>
      </x:c>
      <x:c r="T112" s="113" t="n">
        <x:f>T94*'Scenarios'!$D$42*'Scenarios'!$D$47</x:f>
        <x:v>7.921856347012445</x:v>
      </x:c>
      <x:c r="U112" s="113" t="n">
        <x:f>U94*'Scenarios'!$D$42*'Scenarios'!$D$47</x:f>
        <x:v>8.590528501807258</x:v>
      </x:c>
      <x:c r="V112" s="113" t="n">
        <x:f>V94*'Scenarios'!$D$42*'Scenarios'!$D$47</x:f>
        <x:v>9.24917057428015</x:v>
      </x:c>
      <x:c r="W112" s="113" t="n">
        <x:f>W94*'Scenarios'!$D$42*'Scenarios'!$D$47</x:f>
        <x:v>10.094808015665947</x:v>
      </x:c>
      <x:c r="X112" s="113" t="n">
        <x:f>X94*'Scenarios'!$D$42*'Scenarios'!$D$47</x:f>
        <x:v>10.927760895430959</x:v>
      </x:c>
      <x:c r="Y112" s="113" t="n">
        <x:f>Y94*'Scenarios'!$D$42*'Scenarios'!$D$47</x:f>
        <x:v>11.748219481999493</x:v>
      </x:c>
      <x:c r="Z112" s="113" t="n">
        <x:f>Z94*'Scenarios'!$D$42*'Scenarios'!$D$47</x:f>
        <x:v>12.5563711897695</x:v>
      </x:c>
      <x:c r="AA112" s="113" t="n">
        <x:f>AA94*'Scenarios'!$D$42*'Scenarios'!$D$47</x:f>
        <x:v>13.352400621922957</x:v>
      </x:c>
      <x:c r="AB112" s="113" t="n">
        <x:f>AB94*'Scenarios'!$D$42*'Scenarios'!$D$47</x:f>
        <x:v>14.136489612594112</x:v>
      </x:c>
      <x:c r="AC112" s="113" t="n">
        <x:f>AC94*'Scenarios'!$D$42*'Scenarios'!$D$47</x:f>
        <x:v>15.1056922684052</x:v>
      </x:c>
      <x:c r="AD112" s="113" t="n">
        <x:f>AD94*'Scenarios'!$D$42*'Scenarios'!$D$47</x:f>
        <x:v>16.06035688437912</x:v>
      </x:c>
      <x:c r="AE112" s="113" t="n">
        <x:f>AE94*'Scenarios'!$D$42*'Scenarios'!$D$47</x:f>
        <x:v>17.00070153111344</x:v>
      </x:c>
      <x:c r="AF112" s="113" t="n">
        <x:f>AF94*'Scenarios'!$D$42*'Scenarios'!$D$47</x:f>
        <x:v>17.926941008146734</x:v>
      </x:c>
      <x:c r="AG112" s="113" t="n">
        <x:f>AG94*'Scenarios'!$D$42*'Scenarios'!$D$47</x:f>
        <x:v>18.839286893024536</x:v>
      </x:c>
      <x:c r="AH112" s="113" t="n">
        <x:f>AH94*'Scenarios'!$D$42*'Scenarios'!$D$47</x:f>
        <x:v>19.73794758962917</x:v>
      </x:c>
      <x:c r="AI112" s="113" t="n">
        <x:f>AI94*'Scenarios'!$D$42*'Scenarios'!$D$47</x:f>
        <x:v>20.623128375784734</x:v>
      </x:c>
      <x:c r="AJ112" s="113" t="n">
        <x:f>AJ94*'Scenarios'!$D$42*'Scenarios'!$D$47</x:f>
        <x:v>21.495031450147962</x:v>
      </x:c>
      <x:c r="AK112" s="113" t="n">
        <x:f>AK94*'Scenarios'!$D$42*'Scenarios'!$D$47</x:f>
        <x:v>22.353855978395746</x:v>
      </x:c>
      <x:c r="AL112" s="113" t="n">
        <x:f>AL94*'Scenarios'!$D$42*'Scenarios'!$D$47</x:f>
        <x:v>23.19979813871981</x:v>
      </x:c>
    </x:row>
    <x:row r="113">
      <x:c r="A113" s="84" t="str">
        <x:v>Operate recurring hours</x:v>
      </x:c>
      <x:c r="B113" s="84" t="str">
        <x:v>hours</x:v>
      </x:c>
      <x:c r="C113" s="113" t="n">
        <x:f>C95*'Scenarios'!$D$43*'Scenarios'!$D$47</x:f>
        <x:v>0</x:v>
      </x:c>
      <x:c r="D113" s="113" t="n">
        <x:f>D95*'Scenarios'!$D$43*'Scenarios'!$D$47</x:f>
        <x:v>0</x:v>
      </x:c>
      <x:c r="E113" s="113" t="n">
        <x:f>E95*'Scenarios'!$D$43*'Scenarios'!$D$47</x:f>
        <x:v>1.0692000000000002</x:v>
      </x:c>
      <x:c r="F113" s="113" t="n">
        <x:f>F95*'Scenarios'!$D$43*'Scenarios'!$D$47</x:f>
        <x:v>2.1223620000000003</x:v>
      </x:c>
      <x:c r="G113" s="113" t="n">
        <x:f>G95*'Scenarios'!$D$43*'Scenarios'!$D$47</x:f>
        <x:v>3.1597265700000006</x:v>
      </x:c>
      <x:c r="H113" s="113" t="n">
        <x:f>H95*'Scenarios'!$D$43*'Scenarios'!$D$47</x:f>
        <x:v>5.28313067145</x:v>
      </x:c>
      <x:c r="I113" s="113" t="n">
        <x:f>I95*'Scenarios'!$D$43*'Scenarios'!$D$47</x:f>
        <x:v>7.3746837113782515</x:v>
      </x:c>
      <x:c r="J113" s="113" t="n">
        <x:f>J95*'Scenarios'!$D$43*'Scenarios'!$D$47</x:f>
        <x:v>9.434863455707578</x:v>
      </x:c>
      <x:c r="K113" s="113" t="n">
        <x:f>K95*'Scenarios'!$D$43*'Scenarios'!$D$47</x:f>
        <x:v>11.464140503871961</x:v>
      </x:c>
      <x:c r="L113" s="113" t="n">
        <x:f>L95*'Scenarios'!$D$43*'Scenarios'!$D$47</x:f>
        <x:v>13.462978396313883</x:v>
      </x:c>
      <x:c r="M113" s="113" t="n">
        <x:f>M95*'Scenarios'!$D$43*'Scenarios'!$D$47</x:f>
        <x:v>15.431833720369177</x:v>
      </x:c>
      <x:c r="N113" s="113" t="n">
        <x:f>N95*'Scenarios'!$D$43*'Scenarios'!$D$47</x:f>
        <x:v>17.371156214563637</x:v>
      </x:c>
      <x:c r="O113" s="113" t="n">
        <x:f>O95*'Scenarios'!$D$43*'Scenarios'!$D$47</x:f>
        <x:v>19.28138887134518</x:v>
      </x:c>
      <x:c r="P113" s="113" t="n">
        <x:f>P95*'Scenarios'!$D$43*'Scenarios'!$D$47</x:f>
        <x:v>21.162968038275004</x:v>
      </x:c>
      <x:c r="Q113" s="113" t="n">
        <x:f>Q95*'Scenarios'!$D$43*'Scenarios'!$D$47</x:f>
        <x:v>24.085523517700878</x:v>
      </x:c>
      <x:c r="R113" s="113" t="n">
        <x:f>R95*'Scenarios'!$D$43*'Scenarios'!$D$47</x:f>
        <x:v>26.964240664935367</x:v>
      </x:c>
      <x:c r="S113" s="113" t="n">
        <x:f>S95*'Scenarios'!$D$43*'Scenarios'!$D$47</x:f>
        <x:v>29.799777054961336</x:v>
      </x:c>
      <x:c r="T113" s="113" t="n">
        <x:f>T95*'Scenarios'!$D$43*'Scenarios'!$D$47</x:f>
        <x:v>32.59278039913691</x:v>
      </x:c>
      <x:c r="U113" s="113" t="n">
        <x:f>U95*'Scenarios'!$D$43*'Scenarios'!$D$47</x:f>
        <x:v>35.343888693149864</x:v>
      </x:c>
      <x:c r="V113" s="113" t="n">
        <x:f>V95*'Scenarios'!$D$43*'Scenarios'!$D$47</x:f>
        <x:v>38.05373036275262</x:v>
      </x:c>
      <x:c r="W113" s="113" t="n">
        <x:f>W95*'Scenarios'!$D$43*'Scenarios'!$D$47</x:f>
        <x:v>41.53292440731133</x:v>
      </x:c>
      <x:c r="X113" s="113" t="n">
        <x:f>X95*'Scenarios'!$D$43*'Scenarios'!$D$47</x:f>
        <x:v>44.95993054120166</x:v>
      </x:c>
      <x:c r="Y113" s="113" t="n">
        <x:f>Y95*'Scenarios'!$D$43*'Scenarios'!$D$47</x:f>
        <x:v>48.33553158308362</x:v>
      </x:c>
      <x:c r="Z113" s="113" t="n">
        <x:f>Z95*'Scenarios'!$D$43*'Scenarios'!$D$47</x:f>
        <x:v>51.66049860933738</x:v>
      </x:c>
      <x:c r="AA113" s="113" t="n">
        <x:f>AA95*'Scenarios'!$D$43*'Scenarios'!$D$47</x:f>
        <x:v>54.93559113019731</x:v>
      </x:c>
      <x:c r="AB113" s="113" t="n">
        <x:f>AB95*'Scenarios'!$D$43*'Scenarios'!$D$47</x:f>
        <x:v>58.16155726324434</x:v>
      </x:c>
      <x:c r="AC113" s="113" t="n">
        <x:f>AC95*'Scenarios'!$D$43*'Scenarios'!$D$47</x:f>
        <x:v>62.14913390429568</x:v>
      </x:c>
      <x:c r="AD113" s="113" t="n">
        <x:f>AD95*'Scenarios'!$D$43*'Scenarios'!$D$47</x:f>
        <x:v>66.07689689573125</x:v>
      </x:c>
      <x:c r="AE113" s="113" t="n">
        <x:f>AE95*'Scenarios'!$D$43*'Scenarios'!$D$47</x:f>
        <x:v>69.94574344229528</x:v>
      </x:c>
      <x:c r="AF113" s="113" t="n">
        <x:f>AF95*'Scenarios'!$D$43*'Scenarios'!$D$47</x:f>
        <x:v>73.75655729066085</x:v>
      </x:c>
      <x:c r="AG113" s="113" t="n">
        <x:f>AG95*'Scenarios'!$D$43*'Scenarios'!$D$47</x:f>
        <x:v>77.51020893130094</x:v>
      </x:c>
      <x:c r="AH113" s="113" t="n">
        <x:f>AH95*'Scenarios'!$D$43*'Scenarios'!$D$47</x:f>
        <x:v>81.20755579733144</x:v>
      </x:c>
      <x:c r="AI113" s="113" t="n">
        <x:f>AI95*'Scenarios'!$D$43*'Scenarios'!$D$47</x:f>
        <x:v>84.84944246037148</x:v>
      </x:c>
      <x:c r="AJ113" s="113" t="n">
        <x:f>AJ95*'Scenarios'!$D$43*'Scenarios'!$D$47</x:f>
        <x:v>88.4367008234659</x:v>
      </x:c>
      <x:c r="AK113" s="113" t="n">
        <x:f>AK95*'Scenarios'!$D$43*'Scenarios'!$D$47</x:f>
        <x:v>91.97015031111393</x:v>
      </x:c>
      <x:c r="AL113" s="113" t="n">
        <x:f>AL95*'Scenarios'!$D$43*'Scenarios'!$D$47</x:f>
        <x:v>95.4505980564472</x:v>
      </x:c>
    </x:row>
    <x:row r="114">
      <x:c r="A114" s="84" t="str">
        <x:v>Scale recurring hours</x:v>
      </x:c>
      <x:c r="B114" s="84" t="str">
        <x:v>hours</x:v>
      </x:c>
      <x:c r="C114" s="113" t="n">
        <x:f>C96*'Scenarios'!$D$44*'Scenarios'!$D$47</x:f>
        <x:v>0</x:v>
      </x:c>
      <x:c r="D114" s="113" t="n">
        <x:f>D96*'Scenarios'!$D$44*'Scenarios'!$D$47</x:f>
        <x:v>0</x:v>
      </x:c>
      <x:c r="E114" s="113" t="n">
        <x:f>E96*'Scenarios'!$D$44*'Scenarios'!$D$47</x:f>
        <x:v>0.44550000000000006</x:v>
      </x:c>
      <x:c r="F114" s="113" t="n">
        <x:f>F96*'Scenarios'!$D$44*'Scenarios'!$D$47</x:f>
        <x:v>0.8843175000000002</x:v>
      </x:c>
      <x:c r="G114" s="113" t="n">
        <x:f>G96*'Scenarios'!$D$44*'Scenarios'!$D$47</x:f>
        <x:v>1.3165527375000003</x:v>
      </x:c>
      <x:c r="H114" s="113" t="n">
        <x:f>H96*'Scenarios'!$D$44*'Scenarios'!$D$47</x:f>
        <x:v>2.2013044464375002</x:v>
      </x:c>
      <x:c r="I114" s="113" t="n">
        <x:f>I96*'Scenarios'!$D$44*'Scenarios'!$D$47</x:f>
        <x:v>3.072784879740938</x:v>
      </x:c>
      <x:c r="J114" s="113" t="n">
        <x:f>J96*'Scenarios'!$D$44*'Scenarios'!$D$47</x:f>
        <x:v>3.931193106544824</x:v>
      </x:c>
      <x:c r="K114" s="113" t="n">
        <x:f>K96*'Scenarios'!$D$44*'Scenarios'!$D$47</x:f>
        <x:v>4.776725209946651</x:v>
      </x:c>
      <x:c r="L114" s="113" t="n">
        <x:f>L96*'Scenarios'!$D$44*'Scenarios'!$D$47</x:f>
        <x:v>5.609574331797451</x:v>
      </x:c>
      <x:c r="M114" s="113" t="n">
        <x:f>M96*'Scenarios'!$D$44*'Scenarios'!$D$47</x:f>
        <x:v>6.42993071682049</x:v>
      </x:c>
      <x:c r="N114" s="113" t="n">
        <x:f>N96*'Scenarios'!$D$44*'Scenarios'!$D$47</x:f>
        <x:v>7.237981756068183</x:v>
      </x:c>
      <x:c r="O114" s="113" t="n">
        <x:f>O96*'Scenarios'!$D$44*'Scenarios'!$D$47</x:f>
        <x:v>8.033912029727158</x:v>
      </x:c>
      <x:c r="P114" s="113" t="n">
        <x:f>P96*'Scenarios'!$D$44*'Scenarios'!$D$47</x:f>
        <x:v>8.817903349281252</x:v>
      </x:c>
      <x:c r="Q114" s="113" t="n">
        <x:f>Q96*'Scenarios'!$D$44*'Scenarios'!$D$47</x:f>
        <x:v>10.035634799042032</x:v>
      </x:c>
      <x:c r="R114" s="113" t="n">
        <x:f>R96*'Scenarios'!$D$44*'Scenarios'!$D$47</x:f>
        <x:v>11.235100277056402</x:v>
      </x:c>
      <x:c r="S114" s="113" t="n">
        <x:f>S96*'Scenarios'!$D$44*'Scenarios'!$D$47</x:f>
        <x:v>12.416573772900556</x:v>
      </x:c>
      <x:c r="T114" s="113" t="n">
        <x:f>T96*'Scenarios'!$D$44*'Scenarios'!$D$47</x:f>
        <x:v>13.580325166307048</x:v>
      </x:c>
      <x:c r="U114" s="113" t="n">
        <x:f>U96*'Scenarios'!$D$44*'Scenarios'!$D$47</x:f>
        <x:v>14.726620288812441</x:v>
      </x:c>
      <x:c r="V114" s="113" t="n">
        <x:f>V96*'Scenarios'!$D$44*'Scenarios'!$D$47</x:f>
        <x:v>15.855720984480257</x:v>
      </x:c>
      <x:c r="W114" s="113" t="n">
        <x:f>W96*'Scenarios'!$D$44*'Scenarios'!$D$47</x:f>
        <x:v>17.305385169713052</x:v>
      </x:c>
      <x:c r="X114" s="113" t="n">
        <x:f>X96*'Scenarios'!$D$44*'Scenarios'!$D$47</x:f>
        <x:v>18.733304392167355</x:v>
      </x:c>
      <x:c r="Y114" s="113" t="n">
        <x:f>Y96*'Scenarios'!$D$44*'Scenarios'!$D$47</x:f>
        <x:v>20.139804826284845</x:v>
      </x:c>
      <x:c r="Z114" s="113" t="n">
        <x:f>Z96*'Scenarios'!$D$44*'Scenarios'!$D$47</x:f>
        <x:v>21.525207753890573</x:v>
      </x:c>
      <x:c r="AA114" s="113" t="n">
        <x:f>AA96*'Scenarios'!$D$44*'Scenarios'!$D$47</x:f>
        <x:v>22.88982963758221</x:v>
      </x:c>
      <x:c r="AB114" s="113" t="n">
        <x:f>AB96*'Scenarios'!$D$44*'Scenarios'!$D$47</x:f>
        <x:v>24.233982193018477</x:v>
      </x:c>
      <x:c r="AC114" s="113" t="n">
        <x:f>AC96*'Scenarios'!$D$44*'Scenarios'!$D$47</x:f>
        <x:v>25.895472460123198</x:v>
      </x:c>
      <x:c r="AD114" s="113" t="n">
        <x:f>AD96*'Scenarios'!$D$44*'Scenarios'!$D$47</x:f>
        <x:v>27.532040373221353</x:v>
      </x:c>
      <x:c r="AE114" s="113" t="n">
        <x:f>AE96*'Scenarios'!$D$44*'Scenarios'!$D$47</x:f>
        <x:v>29.144059767623034</x:v>
      </x:c>
      <x:c r="AF114" s="113" t="n">
        <x:f>AF96*'Scenarios'!$D$44*'Scenarios'!$D$47</x:f>
        <x:v>30.73189887110869</x:v>
      </x:c>
      <x:c r="AG114" s="113" t="n">
        <x:f>AG96*'Scenarios'!$D$44*'Scenarios'!$D$47</x:f>
        <x:v>32.295920388042056</x:v>
      </x:c>
      <x:c r="AH114" s="113" t="n">
        <x:f>AH96*'Scenarios'!$D$44*'Scenarios'!$D$47</x:f>
        <x:v>33.83648158222143</x:v>
      </x:c>
      <x:c r="AI114" s="113" t="n">
        <x:f>AI96*'Scenarios'!$D$44*'Scenarios'!$D$47</x:f>
        <x:v>35.35393435848811</x:v>
      </x:c>
      <x:c r="AJ114" s="113" t="n">
        <x:f>AJ96*'Scenarios'!$D$44*'Scenarios'!$D$47</x:f>
        <x:v>36.84862534311079</x:v>
      </x:c>
      <x:c r="AK114" s="113" t="n">
        <x:f>AK96*'Scenarios'!$D$44*'Scenarios'!$D$47</x:f>
        <x:v>38.32089596296414</x:v>
      </x:c>
      <x:c r="AL114" s="113" t="n">
        <x:f>AL96*'Scenarios'!$D$44*'Scenarios'!$D$47</x:f>
        <x:v>39.771082523519674</x:v>
      </x:c>
    </x:row>
    <x:row r="115">
      <x:c r="A115" s="84" t="str">
        <x:v>Expansion hours</x:v>
      </x:c>
      <x:c r="B115" s="84" t="str">
        <x:v>hours</x:v>
      </x:c>
      <x:c r="C115" s="113" t="n">
        <x:f>C97*'Scenarios'!$D$45*'Scenarios'!$D$47</x:f>
        <x:v>0</x:v>
      </x:c>
      <x:c r="D115" s="113" t="n">
        <x:f>D97*'Scenarios'!$D$45*'Scenarios'!$D$47</x:f>
        <x:v>0</x:v>
      </x:c>
      <x:c r="E115" s="113" t="n">
        <x:f>E97*'Scenarios'!$D$45*'Scenarios'!$D$47</x:f>
        <x:v>0.061875000000000006</x:v>
      </x:c>
      <x:c r="F115" s="113" t="n">
        <x:f>F97*'Scenarios'!$D$45*'Scenarios'!$D$47</x:f>
        <x:v>0.12282187500000004</x:v>
      </x:c>
      <x:c r="G115" s="113" t="n">
        <x:f>G97*'Scenarios'!$D$45*'Scenarios'!$D$47</x:f>
        <x:v>0.18285454687500005</x:v>
      </x:c>
      <x:c r="H115" s="113" t="n">
        <x:f>H97*'Scenarios'!$D$45*'Scenarios'!$D$47</x:f>
        <x:v>0.30573672867187507</x:v>
      </x:c>
      <x:c r="I115" s="113" t="n">
        <x:f>I97*'Scenarios'!$D$45*'Scenarios'!$D$47</x:f>
        <x:v>0.426775677741797</x:v>
      </x:c>
      <x:c r="J115" s="113" t="n">
        <x:f>J97*'Scenarios'!$D$45*'Scenarios'!$D$47</x:f>
        <x:v>0.54599904257567</x:v>
      </x:c>
      <x:c r="K115" s="113" t="n">
        <x:f>K97*'Scenarios'!$D$45*'Scenarios'!$D$47</x:f>
        <x:v>0.6634340569370349</x:v>
      </x:c>
      <x:c r="L115" s="113" t="n">
        <x:f>L97*'Scenarios'!$D$45*'Scenarios'!$D$47</x:f>
        <x:v>0.7791075460829795</x:v>
      </x:c>
      <x:c r="M115" s="113" t="n">
        <x:f>M97*'Scenarios'!$D$45*'Scenarios'!$D$47</x:f>
        <x:v>0.8930459328917348</x:v>
      </x:c>
      <x:c r="N115" s="113" t="n">
        <x:f>N97*'Scenarios'!$D$45*'Scenarios'!$D$47</x:f>
        <x:v>1.0052752438983588</x:v>
      </x:c>
      <x:c r="O115" s="113" t="n">
        <x:f>O97*'Scenarios'!$D$45*'Scenarios'!$D$47</x:f>
        <x:v>1.1158211152398834</x:v>
      </x:c>
      <x:c r="P115" s="113" t="n">
        <x:f>P97*'Scenarios'!$D$45*'Scenarios'!$D$47</x:f>
        <x:v>1.224708798511285</x:v>
      </x:c>
      <x:c r="Q115" s="113" t="n">
        <x:f>Q97*'Scenarios'!$D$45*'Scenarios'!$D$47</x:f>
        <x:v>1.3938381665336155</x:v>
      </x:c>
      <x:c r="R115" s="113" t="n">
        <x:f>R97*'Scenarios'!$D$45*'Scenarios'!$D$47</x:f>
        <x:v>1.5604305940356116</x:v>
      </x:c>
      <x:c r="S115" s="113" t="n">
        <x:f>S97*'Scenarios'!$D$45*'Scenarios'!$D$47</x:f>
        <x:v>1.7245241351250773</x:v>
      </x:c>
      <x:c r="T115" s="113" t="n">
        <x:f>T97*'Scenarios'!$D$45*'Scenarios'!$D$47</x:f>
        <x:v>1.8861562730982013</x:v>
      </x:c>
      <x:c r="U115" s="113" t="n">
        <x:f>U97*'Scenarios'!$D$45*'Scenarios'!$D$47</x:f>
        <x:v>2.0453639290017285</x:v>
      </x:c>
      <x:c r="V115" s="113" t="n">
        <x:f>V97*'Scenarios'!$D$45*'Scenarios'!$D$47</x:f>
        <x:v>2.2021834700667027</x:v>
      </x:c>
      <x:c r="W115" s="113" t="n">
        <x:f>W97*'Scenarios'!$D$45*'Scenarios'!$D$47</x:f>
        <x:v>2.4035257180157017</x:v>
      </x:c>
      <x:c r="X115" s="113" t="n">
        <x:f>X97*'Scenarios'!$D$45*'Scenarios'!$D$47</x:f>
        <x:v>2.601847832245467</x:v>
      </x:c>
      <x:c r="Y115" s="113" t="n">
        <x:f>Y97*'Scenarios'!$D$45*'Scenarios'!$D$47</x:f>
        <x:v>2.7971951147617844</x:v>
      </x:c>
      <x:c r="Z115" s="113" t="n">
        <x:f>Z97*'Scenarios'!$D$45*'Scenarios'!$D$47</x:f>
        <x:v>2.9896121880403577</x:v>
      </x:c>
      <x:c r="AA115" s="113" t="n">
        <x:f>AA97*'Scenarios'!$D$45*'Scenarios'!$D$47</x:f>
        <x:v>3.179143005219752</x:v>
      </x:c>
      <x:c r="AB115" s="113" t="n">
        <x:f>AB97*'Scenarios'!$D$45*'Scenarios'!$D$47</x:f>
        <x:v>3.3658308601414557</x:v>
      </x:c>
      <x:c r="AC115" s="113" t="n">
        <x:f>AC97*'Scenarios'!$D$45*'Scenarios'!$D$47</x:f>
        <x:v>3.596593397239333</x:v>
      </x:c>
      <x:c r="AD115" s="113" t="n">
        <x:f>AD97*'Scenarios'!$D$45*'Scenarios'!$D$47</x:f>
        <x:v>3.8238944962807433</x:v>
      </x:c>
      <x:c r="AE115" s="113" t="n">
        <x:f>AE97*'Scenarios'!$D$45*'Scenarios'!$D$47</x:f>
        <x:v>4.047786078836533</x:v>
      </x:c>
      <x:c r="AF115" s="113" t="n">
        <x:f>AF97*'Scenarios'!$D$45*'Scenarios'!$D$47</x:f>
        <x:v>4.268319287653985</x:v>
      </x:c>
      <x:c r="AG115" s="113" t="n">
        <x:f>AG97*'Scenarios'!$D$45*'Scenarios'!$D$47</x:f>
        <x:v>4.485544498339175</x:v>
      </x:c>
      <x:c r="AH115" s="113" t="n">
        <x:f>AH97*'Scenarios'!$D$45*'Scenarios'!$D$47</x:f>
        <x:v>4.6995113308640875</x:v>
      </x:c>
      <x:c r="AI115" s="113" t="n">
        <x:f>AI97*'Scenarios'!$D$45*'Scenarios'!$D$47</x:f>
        <x:v>4.910268660901127</x:v>
      </x:c>
      <x:c r="AJ115" s="113" t="n">
        <x:f>AJ97*'Scenarios'!$D$45*'Scenarios'!$D$47</x:f>
        <x:v>5.1178646309876115</x:v>
      </x:c>
      <x:c r="AK115" s="113" t="n">
        <x:f>AK97*'Scenarios'!$D$45*'Scenarios'!$D$47</x:f>
        <x:v>5.322346661522797</x:v>
      </x:c>
      <x:c r="AL115" s="113" t="n">
        <x:f>AL97*'Scenarios'!$D$45*'Scenarios'!$D$47</x:f>
        <x:v>5.523761461599955</x:v>
      </x:c>
    </x:row>
    <x:row r="116">
      <x:c r="A116" s="84" t="str">
        <x:v>Enablement hours</x:v>
      </x:c>
      <x:c r="B116" s="84" t="str">
        <x:v>hours</x:v>
      </x:c>
      <x:c r="C116" s="113" t="n">
        <x:f>C98*'Scenarios'!$D$46*'Scenarios'!$D$47</x:f>
        <x:v>2.5</x:v>
      </x:c>
      <x:c r="D116" s="113" t="n">
        <x:f>D98*'Scenarios'!$D$46*'Scenarios'!$D$47</x:f>
        <x:v>2.5</x:v>
      </x:c>
      <x:c r="E116" s="113" t="n">
        <x:f>E98*'Scenarios'!$D$46*'Scenarios'!$D$47</x:f>
        <x:v>2.5</x:v>
      </x:c>
      <x:c r="F116" s="113" t="n">
        <x:f>F98*'Scenarios'!$D$46*'Scenarios'!$D$47</x:f>
        <x:v>2.5</x:v>
      </x:c>
      <x:c r="G116" s="113" t="n">
        <x:f>G98*'Scenarios'!$D$46*'Scenarios'!$D$47</x:f>
        <x:v>2.5</x:v>
      </x:c>
      <x:c r="H116" s="113" t="n">
        <x:f>H98*'Scenarios'!$D$46*'Scenarios'!$D$47</x:f>
        <x:v>2.5</x:v>
      </x:c>
      <x:c r="I116" s="113" t="n">
        <x:f>I98*'Scenarios'!$D$46*'Scenarios'!$D$47</x:f>
        <x:v>2.5</x:v>
      </x:c>
      <x:c r="J116" s="113" t="n">
        <x:f>J98*'Scenarios'!$D$46*'Scenarios'!$D$47</x:f>
        <x:v>2.5</x:v>
      </x:c>
      <x:c r="K116" s="113" t="n">
        <x:f>K98*'Scenarios'!$D$46*'Scenarios'!$D$47</x:f>
        <x:v>2.5</x:v>
      </x:c>
      <x:c r="L116" s="113" t="n">
        <x:f>L98*'Scenarios'!$D$46*'Scenarios'!$D$47</x:f>
        <x:v>2.5</x:v>
      </x:c>
      <x:c r="M116" s="113" t="n">
        <x:f>M98*'Scenarios'!$D$46*'Scenarios'!$D$47</x:f>
        <x:v>2.5</x:v>
      </x:c>
      <x:c r="N116" s="113" t="n">
        <x:f>N98*'Scenarios'!$D$46*'Scenarios'!$D$47</x:f>
        <x:v>2.5</x:v>
      </x:c>
      <x:c r="O116" s="113" t="n">
        <x:f>O98*'Scenarios'!$D$46*'Scenarios'!$D$47</x:f>
        <x:v>2.5</x:v>
      </x:c>
      <x:c r="P116" s="113" t="n">
        <x:f>P98*'Scenarios'!$D$46*'Scenarios'!$D$47</x:f>
        <x:v>2.5</x:v>
      </x:c>
      <x:c r="Q116" s="113" t="n">
        <x:f>Q98*'Scenarios'!$D$46*'Scenarios'!$D$47</x:f>
        <x:v>2.5</x:v>
      </x:c>
      <x:c r="R116" s="113" t="n">
        <x:f>R98*'Scenarios'!$D$46*'Scenarios'!$D$47</x:f>
        <x:v>2.5</x:v>
      </x:c>
      <x:c r="S116" s="113" t="n">
        <x:f>S98*'Scenarios'!$D$46*'Scenarios'!$D$47</x:f>
        <x:v>2.5</x:v>
      </x:c>
      <x:c r="T116" s="113" t="n">
        <x:f>T98*'Scenarios'!$D$46*'Scenarios'!$D$47</x:f>
        <x:v>2.5</x:v>
      </x:c>
      <x:c r="U116" s="113" t="n">
        <x:f>U98*'Scenarios'!$D$46*'Scenarios'!$D$47</x:f>
        <x:v>2.5</x:v>
      </x:c>
      <x:c r="V116" s="113" t="n">
        <x:f>V98*'Scenarios'!$D$46*'Scenarios'!$D$47</x:f>
        <x:v>2.5</x:v>
      </x:c>
      <x:c r="W116" s="113" t="n">
        <x:f>W98*'Scenarios'!$D$46*'Scenarios'!$D$47</x:f>
        <x:v>2.5</x:v>
      </x:c>
      <x:c r="X116" s="113" t="n">
        <x:f>X98*'Scenarios'!$D$46*'Scenarios'!$D$47</x:f>
        <x:v>2.5</x:v>
      </x:c>
      <x:c r="Y116" s="113" t="n">
        <x:f>Y98*'Scenarios'!$D$46*'Scenarios'!$D$47</x:f>
        <x:v>2.5</x:v>
      </x:c>
      <x:c r="Z116" s="113" t="n">
        <x:f>Z98*'Scenarios'!$D$46*'Scenarios'!$D$47</x:f>
        <x:v>2.5</x:v>
      </x:c>
      <x:c r="AA116" s="113" t="n">
        <x:f>AA98*'Scenarios'!$D$46*'Scenarios'!$D$47</x:f>
        <x:v>2.5</x:v>
      </x:c>
      <x:c r="AB116" s="113" t="n">
        <x:f>AB98*'Scenarios'!$D$46*'Scenarios'!$D$47</x:f>
        <x:v>2.5</x:v>
      </x:c>
      <x:c r="AC116" s="113" t="n">
        <x:f>AC98*'Scenarios'!$D$46*'Scenarios'!$D$47</x:f>
        <x:v>2.5</x:v>
      </x:c>
      <x:c r="AD116" s="113" t="n">
        <x:f>AD98*'Scenarios'!$D$46*'Scenarios'!$D$47</x:f>
        <x:v>2.5</x:v>
      </x:c>
      <x:c r="AE116" s="113" t="n">
        <x:f>AE98*'Scenarios'!$D$46*'Scenarios'!$D$47</x:f>
        <x:v>2.5</x:v>
      </x:c>
      <x:c r="AF116" s="113" t="n">
        <x:f>AF98*'Scenarios'!$D$46*'Scenarios'!$D$47</x:f>
        <x:v>2.5</x:v>
      </x:c>
      <x:c r="AG116" s="113" t="n">
        <x:f>AG98*'Scenarios'!$D$46*'Scenarios'!$D$47</x:f>
        <x:v>2.5</x:v>
      </x:c>
      <x:c r="AH116" s="113" t="n">
        <x:f>AH98*'Scenarios'!$D$46*'Scenarios'!$D$47</x:f>
        <x:v>2.5</x:v>
      </x:c>
      <x:c r="AI116" s="113" t="n">
        <x:f>AI98*'Scenarios'!$D$46*'Scenarios'!$D$47</x:f>
        <x:v>2.5</x:v>
      </x:c>
      <x:c r="AJ116" s="113" t="n">
        <x:f>AJ98*'Scenarios'!$D$46*'Scenarios'!$D$47</x:f>
        <x:v>2.5</x:v>
      </x:c>
      <x:c r="AK116" s="113" t="n">
        <x:f>AK98*'Scenarios'!$D$46*'Scenarios'!$D$47</x:f>
        <x:v>2.5</x:v>
      </x:c>
      <x:c r="AL116" s="113" t="n">
        <x:f>AL98*'Scenarios'!$D$46*'Scenarios'!$D$47</x:f>
        <x:v>2.5</x:v>
      </x:c>
    </x:row>
    <x:row r="117">
      <x:c r="A117" s="84" t="str">
        <x:v>Total delivery hours</x:v>
      </x:c>
      <x:c r="B117" s="84" t="str">
        <x:v>hours</x:v>
      </x:c>
      <x:c r="C117" s="113" t="n">
        <x:f>SUM(C110:C116)</x:f>
        <x:v>5.140000000000001</x:v>
      </x:c>
      <x:c r="D117" s="113" t="n">
        <x:f>SUM(D110:D116)</x:f>
        <x:v>13.06</x:v>
      </x:c>
      <x:c r="E117" s="113" t="n">
        <x:f>SUM(E110:E116)</x:f>
        <x:v>14.896450000000002</x:v>
      </x:c>
      <x:c r="F117" s="113" t="n">
        <x:f>SUM(F110:F116)</x:f>
        <x:v>19.42535325</x:v>
      </x:c>
      <x:c r="G117" s="113" t="n">
        <x:f>SUM(G110:G116)</x:f>
        <x:v>29.36712295125</x:v>
      </x:c>
      <x:c r="H117" s="113" t="n">
        <x:f>SUM(H110:H116)</x:f>
        <x:v>33.01426610698125</x:v>
      </x:c>
      <x:c r="I117" s="113" t="n">
        <x:f>SUM(I110:I116)</x:f>
        <x:v>36.60670211537653</x:v>
      </x:c>
      <x:c r="J117" s="113" t="n">
        <x:f>SUM(J110:J116)</x:f>
        <x:v>40.14525158364589</x:v>
      </x:c>
      <x:c r="K117" s="113" t="n">
        <x:f>SUM(K110:K116)</x:f>
        <x:v>43.630722809891196</x:v>
      </x:c>
      <x:c r="L117" s="113" t="n">
        <x:f>SUM(L110:L116)</x:f>
        <x:v>47.063911967742825</x:v>
      </x:c>
      <x:c r="M117" s="113" t="n">
        <x:f>SUM(M110:M116)</x:f>
        <x:v>50.44560328822669</x:v>
      </x:c>
      <x:c r="N117" s="113" t="n">
        <x:f>SUM(N110:N116)</x:f>
        <x:v>53.776569238903285</x:v>
      </x:c>
      <x:c r="O117" s="113" t="n">
        <x:f>SUM(O110:O116)</x:f>
        <x:v>59.69757070031973</x:v>
      </x:c>
      <x:c r="P117" s="113" t="n">
        <x:f>SUM(P110:P116)</x:f>
        <x:v>70.84935713981494</x:v>
      </x:c>
      <x:c r="Q117" s="113" t="n">
        <x:f>SUM(Q110:Q116)</x:f>
        <x:v>75.86911678271771</x:v>
      </x:c>
      <x:c r="R117" s="113" t="n">
        <x:f>SUM(R110:R116)</x:f>
        <x:v>80.81358003097695</x:v>
      </x:c>
      <x:c r="S117" s="113" t="n">
        <x:f>SUM(S110:S116)</x:f>
        <x:v>85.6838763305123</x:v>
      </x:c>
      <x:c r="T117" s="113" t="n">
        <x:f>SUM(T110:T116)</x:f>
        <x:v>90.4811181855546</x:v>
      </x:c>
      <x:c r="U117" s="113" t="n">
        <x:f>SUM(U110:U116)</x:f>
        <x:v>97.20640141277129</x:v>
      </x:c>
      <x:c r="V117" s="113" t="n">
        <x:f>SUM(V110:V116)</x:f>
        <x:v>107.86080539157973</x:v>
      </x:c>
      <x:c r="W117" s="113" t="n">
        <x:f>SUM(W110:W116)</x:f>
        <x:v>113.83664331070602</x:v>
      </x:c>
      <x:c r="X117" s="113" t="n">
        <x:f>SUM(X110:X116)</x:f>
        <x:v>119.72284366104545</x:v>
      </x:c>
      <x:c r="Y117" s="113" t="n">
        <x:f>SUM(Y110:Y116)</x:f>
        <x:v>125.52075100612973</x:v>
      </x:c>
      <x:c r="Z117" s="113" t="n">
        <x:f>SUM(Z110:Z116)</x:f>
        <x:v>131.23168974103783</x:v>
      </x:c>
      <x:c r="AA117" s="113" t="n">
        <x:f>SUM(AA110:AA116)</x:f>
        <x:v>138.85696439492222</x:v>
      </x:c>
      <x:c r="AB117" s="113" t="n">
        <x:f>SUM(AB110:AB116)</x:f>
        <x:v>150.39785992899837</x:v>
      </x:c>
      <x:c r="AC117" s="113" t="n">
        <x:f>SUM(AC110:AC116)</x:f>
        <x:v>157.2468920300634</x:v>
      </x:c>
      <x:c r="AD117" s="113" t="n">
        <x:f>SUM(AD110:AD116)</x:f>
        <x:v>163.99318864961245</x:v>
      </x:c>
      <x:c r="AE117" s="113" t="n">
        <x:f>SUM(AE110:AE116)</x:f>
        <x:v>170.63829081986827</x:v>
      </x:c>
      <x:c r="AF117" s="113" t="n">
        <x:f>SUM(AF110:AF116)</x:f>
        <x:v>177.18371645757026</x:v>
      </x:c>
      <x:c r="AG117" s="113" t="n">
        <x:f>SUM(AG110:AG116)</x:f>
        <x:v>183.6309607107067</x:v>
      </x:c>
      <x:c r="AH117" s="113" t="n">
        <x:f>SUM(AH110:AH116)</x:f>
        <x:v>189.98149630004613</x:v>
      </x:c>
      <x:c r="AI117" s="113" t="n">
        <x:f>SUM(AI110:AI116)</x:f>
        <x:v>196.23677385554544</x:v>
      </x:c>
      <x:c r="AJ117" s="113" t="n">
        <x:f>SUM(AJ110:AJ116)</x:f>
        <x:v>202.39822224771228</x:v>
      </x:c>
      <x:c r="AK117" s="113" t="n">
        <x:f>SUM(AK110:AK116)</x:f>
        <x:v>208.4672489139966</x:v>
      </x:c>
      <x:c r="AL117" s="113" t="n">
        <x:f>SUM(AL110:AL116)</x:f>
        <x:v>214.44524018028665</x:v>
      </x:c>
    </x:row>
    <x:row r="118">
      <x:c r="A118" s="84" t="str">
        <x:v>Founder delivery capacity</x:v>
      </x:c>
      <x:c r="B118" s="84" t="str">
        <x:v>hours</x:v>
      </x:c>
      <x:c r="C118" s="113" t="n">
        <x:f>'Scenarios'!$D$31*52/12*'Scenarios'!$D$32</x:f>
        <x:v>52</x:v>
      </x:c>
      <x:c r="D118" s="113" t="n">
        <x:f>'Scenarios'!$D$31*52/12*'Scenarios'!$D$32</x:f>
        <x:v>52</x:v>
      </x:c>
      <x:c r="E118" s="113" t="n">
        <x:f>'Scenarios'!$D$31*52/12*'Scenarios'!$D$32</x:f>
        <x:v>52</x:v>
      </x:c>
      <x:c r="F118" s="113" t="n">
        <x:f>'Scenarios'!$D$31*52/12*'Scenarios'!$D$32</x:f>
        <x:v>52</x:v>
      </x:c>
      <x:c r="G118" s="113" t="n">
        <x:f>'Scenarios'!$D$31*52/12*'Scenarios'!$D$32</x:f>
        <x:v>52</x:v>
      </x:c>
      <x:c r="H118" s="113" t="n">
        <x:f>'Scenarios'!$D$31*52/12*'Scenarios'!$D$32</x:f>
        <x:v>52</x:v>
      </x:c>
      <x:c r="I118" s="113" t="n">
        <x:f>'Scenarios'!$D$31*52/12*'Scenarios'!$D$32</x:f>
        <x:v>52</x:v>
      </x:c>
      <x:c r="J118" s="113" t="n">
        <x:f>'Scenarios'!$D$31*52/12*'Scenarios'!$D$32</x:f>
        <x:v>52</x:v>
      </x:c>
      <x:c r="K118" s="113" t="n">
        <x:f>'Scenarios'!$D$31*52/12*'Scenarios'!$D$32</x:f>
        <x:v>52</x:v>
      </x:c>
      <x:c r="L118" s="113" t="n">
        <x:f>'Scenarios'!$D$31*52/12*'Scenarios'!$D$32</x:f>
        <x:v>52</x:v>
      </x:c>
      <x:c r="M118" s="113" t="n">
        <x:f>'Scenarios'!$D$31*52/12*'Scenarios'!$D$32</x:f>
        <x:v>52</x:v>
      </x:c>
      <x:c r="N118" s="113" t="n">
        <x:f>'Scenarios'!$D$31*52/12*'Scenarios'!$D$32</x:f>
        <x:v>52</x:v>
      </x:c>
      <x:c r="O118" s="113" t="n">
        <x:f>'Scenarios'!$D$31*52/12*'Scenarios'!$D$32</x:f>
        <x:v>52</x:v>
      </x:c>
      <x:c r="P118" s="113" t="n">
        <x:f>'Scenarios'!$D$31*52/12*'Scenarios'!$D$32</x:f>
        <x:v>52</x:v>
      </x:c>
      <x:c r="Q118" s="113" t="n">
        <x:f>'Scenarios'!$D$31*52/12*'Scenarios'!$D$32</x:f>
        <x:v>52</x:v>
      </x:c>
      <x:c r="R118" s="113" t="n">
        <x:f>'Scenarios'!$D$31*52/12*'Scenarios'!$D$32</x:f>
        <x:v>52</x:v>
      </x:c>
      <x:c r="S118" s="113" t="n">
        <x:f>'Scenarios'!$D$31*52/12*'Scenarios'!$D$32</x:f>
        <x:v>52</x:v>
      </x:c>
      <x:c r="T118" s="113" t="n">
        <x:f>'Scenarios'!$D$31*52/12*'Scenarios'!$D$32</x:f>
        <x:v>52</x:v>
      </x:c>
      <x:c r="U118" s="113" t="n">
        <x:f>'Scenarios'!$D$31*52/12*'Scenarios'!$D$32</x:f>
        <x:v>52</x:v>
      </x:c>
      <x:c r="V118" s="113" t="n">
        <x:f>'Scenarios'!$D$31*52/12*'Scenarios'!$D$32</x:f>
        <x:v>52</x:v>
      </x:c>
      <x:c r="W118" s="113" t="n">
        <x:f>'Scenarios'!$D$31*52/12*'Scenarios'!$D$32</x:f>
        <x:v>52</x:v>
      </x:c>
      <x:c r="X118" s="113" t="n">
        <x:f>'Scenarios'!$D$31*52/12*'Scenarios'!$D$32</x:f>
        <x:v>52</x:v>
      </x:c>
      <x:c r="Y118" s="113" t="n">
        <x:f>'Scenarios'!$D$31*52/12*'Scenarios'!$D$32</x:f>
        <x:v>52</x:v>
      </x:c>
      <x:c r="Z118" s="113" t="n">
        <x:f>'Scenarios'!$D$31*52/12*'Scenarios'!$D$32</x:f>
        <x:v>52</x:v>
      </x:c>
      <x:c r="AA118" s="113" t="n">
        <x:f>'Scenarios'!$D$31*52/12*'Scenarios'!$D$32</x:f>
        <x:v>52</x:v>
      </x:c>
      <x:c r="AB118" s="113" t="n">
        <x:f>'Scenarios'!$D$31*52/12*'Scenarios'!$D$32</x:f>
        <x:v>52</x:v>
      </x:c>
      <x:c r="AC118" s="113" t="n">
        <x:f>'Scenarios'!$D$31*52/12*'Scenarios'!$D$32</x:f>
        <x:v>52</x:v>
      </x:c>
      <x:c r="AD118" s="113" t="n">
        <x:f>'Scenarios'!$D$31*52/12*'Scenarios'!$D$32</x:f>
        <x:v>52</x:v>
      </x:c>
      <x:c r="AE118" s="113" t="n">
        <x:f>'Scenarios'!$D$31*52/12*'Scenarios'!$D$32</x:f>
        <x:v>52</x:v>
      </x:c>
      <x:c r="AF118" s="113" t="n">
        <x:f>'Scenarios'!$D$31*52/12*'Scenarios'!$D$32</x:f>
        <x:v>52</x:v>
      </x:c>
      <x:c r="AG118" s="113" t="n">
        <x:f>'Scenarios'!$D$31*52/12*'Scenarios'!$D$32</x:f>
        <x:v>52</x:v>
      </x:c>
      <x:c r="AH118" s="113" t="n">
        <x:f>'Scenarios'!$D$31*52/12*'Scenarios'!$D$32</x:f>
        <x:v>52</x:v>
      </x:c>
      <x:c r="AI118" s="113" t="n">
        <x:f>'Scenarios'!$D$31*52/12*'Scenarios'!$D$32</x:f>
        <x:v>52</x:v>
      </x:c>
      <x:c r="AJ118" s="113" t="n">
        <x:f>'Scenarios'!$D$31*52/12*'Scenarios'!$D$32</x:f>
        <x:v>52</x:v>
      </x:c>
      <x:c r="AK118" s="113" t="n">
        <x:f>'Scenarios'!$D$31*52/12*'Scenarios'!$D$32</x:f>
        <x:v>52</x:v>
      </x:c>
      <x:c r="AL118" s="113" t="n">
        <x:f>'Scenarios'!$D$31*52/12*'Scenarios'!$D$32</x:f>
        <x:v>52</x:v>
      </x:c>
    </x:row>
    <x:row r="119">
      <x:c r="A119" s="84" t="str">
        <x:v>Founder delivery hours used</x:v>
      </x:c>
      <x:c r="B119" s="84" t="str">
        <x:v>hours</x:v>
      </x:c>
      <x:c r="C119" s="113" t="n">
        <x:f>MIN(C117,C118)</x:f>
        <x:v>5.140000000000001</x:v>
      </x:c>
      <x:c r="D119" s="113" t="n">
        <x:f>MIN(D117,D118)</x:f>
        <x:v>13.06</x:v>
      </x:c>
      <x:c r="E119" s="113" t="n">
        <x:f>MIN(E117,E118)</x:f>
        <x:v>14.896450000000002</x:v>
      </x:c>
      <x:c r="F119" s="113" t="n">
        <x:f>MIN(F117,F118)</x:f>
        <x:v>19.42535325</x:v>
      </x:c>
      <x:c r="G119" s="113" t="n">
        <x:f>MIN(G117,G118)</x:f>
        <x:v>29.36712295125</x:v>
      </x:c>
      <x:c r="H119" s="113" t="n">
        <x:f>MIN(H117,H118)</x:f>
        <x:v>33.01426610698125</x:v>
      </x:c>
      <x:c r="I119" s="113" t="n">
        <x:f>MIN(I117,I118)</x:f>
        <x:v>36.60670211537653</x:v>
      </x:c>
      <x:c r="J119" s="113" t="n">
        <x:f>MIN(J117,J118)</x:f>
        <x:v>40.14525158364589</x:v>
      </x:c>
      <x:c r="K119" s="113" t="n">
        <x:f>MIN(K117,K118)</x:f>
        <x:v>43.630722809891196</x:v>
      </x:c>
      <x:c r="L119" s="113" t="n">
        <x:f>MIN(L117,L118)</x:f>
        <x:v>47.063911967742825</x:v>
      </x:c>
      <x:c r="M119" s="113" t="n">
        <x:f>MIN(M117,M118)</x:f>
        <x:v>50.44560328822669</x:v>
      </x:c>
      <x:c r="N119" s="113" t="n">
        <x:f>MIN(N117,N118)</x:f>
        <x:v>52</x:v>
      </x:c>
      <x:c r="O119" s="113" t="n">
        <x:f>MIN(O117,O118)</x:f>
        <x:v>52</x:v>
      </x:c>
      <x:c r="P119" s="113" t="n">
        <x:f>MIN(P117,P118)</x:f>
        <x:v>52</x:v>
      </x:c>
      <x:c r="Q119" s="113" t="n">
        <x:f>MIN(Q117,Q118)</x:f>
        <x:v>52</x:v>
      </x:c>
      <x:c r="R119" s="113" t="n">
        <x:f>MIN(R117,R118)</x:f>
        <x:v>52</x:v>
      </x:c>
      <x:c r="S119" s="113" t="n">
        <x:f>MIN(S117,S118)</x:f>
        <x:v>52</x:v>
      </x:c>
      <x:c r="T119" s="113" t="n">
        <x:f>MIN(T117,T118)</x:f>
        <x:v>52</x:v>
      </x:c>
      <x:c r="U119" s="113" t="n">
        <x:f>MIN(U117,U118)</x:f>
        <x:v>52</x:v>
      </x:c>
      <x:c r="V119" s="113" t="n">
        <x:f>MIN(V117,V118)</x:f>
        <x:v>52</x:v>
      </x:c>
      <x:c r="W119" s="113" t="n">
        <x:f>MIN(W117,W118)</x:f>
        <x:v>52</x:v>
      </x:c>
      <x:c r="X119" s="113" t="n">
        <x:f>MIN(X117,X118)</x:f>
        <x:v>52</x:v>
      </x:c>
      <x:c r="Y119" s="113" t="n">
        <x:f>MIN(Y117,Y118)</x:f>
        <x:v>52</x:v>
      </x:c>
      <x:c r="Z119" s="113" t="n">
        <x:f>MIN(Z117,Z118)</x:f>
        <x:v>52</x:v>
      </x:c>
      <x:c r="AA119" s="113" t="n">
        <x:f>MIN(AA117,AA118)</x:f>
        <x:v>52</x:v>
      </x:c>
      <x:c r="AB119" s="113" t="n">
        <x:f>MIN(AB117,AB118)</x:f>
        <x:v>52</x:v>
      </x:c>
      <x:c r="AC119" s="113" t="n">
        <x:f>MIN(AC117,AC118)</x:f>
        <x:v>52</x:v>
      </x:c>
      <x:c r="AD119" s="113" t="n">
        <x:f>MIN(AD117,AD118)</x:f>
        <x:v>52</x:v>
      </x:c>
      <x:c r="AE119" s="113" t="n">
        <x:f>MIN(AE117,AE118)</x:f>
        <x:v>52</x:v>
      </x:c>
      <x:c r="AF119" s="113" t="n">
        <x:f>MIN(AF117,AF118)</x:f>
        <x:v>52</x:v>
      </x:c>
      <x:c r="AG119" s="113" t="n">
        <x:f>MIN(AG117,AG118)</x:f>
        <x:v>52</x:v>
      </x:c>
      <x:c r="AH119" s="113" t="n">
        <x:f>MIN(AH117,AH118)</x:f>
        <x:v>52</x:v>
      </x:c>
      <x:c r="AI119" s="113" t="n">
        <x:f>MIN(AI117,AI118)</x:f>
        <x:v>52</x:v>
      </x:c>
      <x:c r="AJ119" s="113" t="n">
        <x:f>MIN(AJ117,AJ118)</x:f>
        <x:v>52</x:v>
      </x:c>
      <x:c r="AK119" s="113" t="n">
        <x:f>MIN(AK117,AK118)</x:f>
        <x:v>52</x:v>
      </x:c>
      <x:c r="AL119" s="113" t="n">
        <x:f>MIN(AL117,AL118)</x:f>
        <x:v>52</x:v>
      </x:c>
    </x:row>
    <x:row r="120">
      <x:c r="A120" s="84" t="str">
        <x:v>Core contractor capacity</x:v>
      </x:c>
      <x:c r="B120" s="84" t="str">
        <x:v>hours</x:v>
      </x:c>
      <x:c r="C120" s="113" t="n">
        <x:f>IF(C86&gt;='Scenarios'!$D$36,'Scenarios'!$D$37,0)</x:f>
        <x:v>0</x:v>
      </x:c>
      <x:c r="D120" s="113" t="n">
        <x:f>IF(D86&gt;='Scenarios'!$D$36,'Scenarios'!$D$37,0)</x:f>
        <x:v>0</x:v>
      </x:c>
      <x:c r="E120" s="113" t="n">
        <x:f>IF(E86&gt;='Scenarios'!$D$36,'Scenarios'!$D$37,0)</x:f>
        <x:v>0</x:v>
      </x:c>
      <x:c r="F120" s="113" t="n">
        <x:f>IF(F86&gt;='Scenarios'!$D$36,'Scenarios'!$D$37,0)</x:f>
        <x:v>0</x:v>
      </x:c>
      <x:c r="G120" s="113" t="n">
        <x:f>IF(G86&gt;='Scenarios'!$D$36,'Scenarios'!$D$37,0)</x:f>
        <x:v>0</x:v>
      </x:c>
      <x:c r="H120" s="113" t="n">
        <x:f>IF(H86&gt;='Scenarios'!$D$36,'Scenarios'!$D$37,0)</x:f>
        <x:v>0</x:v>
      </x:c>
      <x:c r="I120" s="113" t="n">
        <x:f>IF(I86&gt;='Scenarios'!$D$36,'Scenarios'!$D$37,0)</x:f>
        <x:v>0</x:v>
      </x:c>
      <x:c r="J120" s="113" t="n">
        <x:f>IF(J86&gt;='Scenarios'!$D$36,'Scenarios'!$D$37,0)</x:f>
        <x:v>0</x:v>
      </x:c>
      <x:c r="K120" s="113" t="n">
        <x:f>IF(K86&gt;='Scenarios'!$D$36,'Scenarios'!$D$37,0)</x:f>
        <x:v>0</x:v>
      </x:c>
      <x:c r="L120" s="113" t="n">
        <x:f>IF(L86&gt;='Scenarios'!$D$36,'Scenarios'!$D$37,0)</x:f>
        <x:v>0</x:v>
      </x:c>
      <x:c r="M120" s="113" t="n">
        <x:f>IF(M86&gt;='Scenarios'!$D$36,'Scenarios'!$D$37,0)</x:f>
        <x:v>0</x:v>
      </x:c>
      <x:c r="N120" s="113" t="n">
        <x:f>IF(N86&gt;='Scenarios'!$D$36,'Scenarios'!$D$37,0)</x:f>
        <x:v>0</x:v>
      </x:c>
      <x:c r="O120" s="113" t="n">
        <x:f>IF(O86&gt;='Scenarios'!$D$36,'Scenarios'!$D$37,0)</x:f>
        <x:v>0</x:v>
      </x:c>
      <x:c r="P120" s="113" t="n">
        <x:f>IF(P86&gt;='Scenarios'!$D$36,'Scenarios'!$D$37,0)</x:f>
        <x:v>0</x:v>
      </x:c>
      <x:c r="Q120" s="113" t="n">
        <x:f>IF(Q86&gt;='Scenarios'!$D$36,'Scenarios'!$D$37,0)</x:f>
        <x:v>80</x:v>
      </x:c>
      <x:c r="R120" s="113" t="n">
        <x:f>IF(R86&gt;='Scenarios'!$D$36,'Scenarios'!$D$37,0)</x:f>
        <x:v>80</x:v>
      </x:c>
      <x:c r="S120" s="113" t="n">
        <x:f>IF(S86&gt;='Scenarios'!$D$36,'Scenarios'!$D$37,0)</x:f>
        <x:v>80</x:v>
      </x:c>
      <x:c r="T120" s="113" t="n">
        <x:f>IF(T86&gt;='Scenarios'!$D$36,'Scenarios'!$D$37,0)</x:f>
        <x:v>80</x:v>
      </x:c>
      <x:c r="U120" s="113" t="n">
        <x:f>IF(U86&gt;='Scenarios'!$D$36,'Scenarios'!$D$37,0)</x:f>
        <x:v>80</x:v>
      </x:c>
      <x:c r="V120" s="113" t="n">
        <x:f>IF(V86&gt;='Scenarios'!$D$36,'Scenarios'!$D$37,0)</x:f>
        <x:v>80</x:v>
      </x:c>
      <x:c r="W120" s="113" t="n">
        <x:f>IF(W86&gt;='Scenarios'!$D$36,'Scenarios'!$D$37,0)</x:f>
        <x:v>80</x:v>
      </x:c>
      <x:c r="X120" s="113" t="n">
        <x:f>IF(X86&gt;='Scenarios'!$D$36,'Scenarios'!$D$37,0)</x:f>
        <x:v>80</x:v>
      </x:c>
      <x:c r="Y120" s="113" t="n">
        <x:f>IF(Y86&gt;='Scenarios'!$D$36,'Scenarios'!$D$37,0)</x:f>
        <x:v>80</x:v>
      </x:c>
      <x:c r="Z120" s="113" t="n">
        <x:f>IF(Z86&gt;='Scenarios'!$D$36,'Scenarios'!$D$37,0)</x:f>
        <x:v>80</x:v>
      </x:c>
      <x:c r="AA120" s="113" t="n">
        <x:f>IF(AA86&gt;='Scenarios'!$D$36,'Scenarios'!$D$37,0)</x:f>
        <x:v>80</x:v>
      </x:c>
      <x:c r="AB120" s="113" t="n">
        <x:f>IF(AB86&gt;='Scenarios'!$D$36,'Scenarios'!$D$37,0)</x:f>
        <x:v>80</x:v>
      </x:c>
      <x:c r="AC120" s="113" t="n">
        <x:f>IF(AC86&gt;='Scenarios'!$D$36,'Scenarios'!$D$37,0)</x:f>
        <x:v>80</x:v>
      </x:c>
      <x:c r="AD120" s="113" t="n">
        <x:f>IF(AD86&gt;='Scenarios'!$D$36,'Scenarios'!$D$37,0)</x:f>
        <x:v>80</x:v>
      </x:c>
      <x:c r="AE120" s="113" t="n">
        <x:f>IF(AE86&gt;='Scenarios'!$D$36,'Scenarios'!$D$37,0)</x:f>
        <x:v>80</x:v>
      </x:c>
      <x:c r="AF120" s="113" t="n">
        <x:f>IF(AF86&gt;='Scenarios'!$D$36,'Scenarios'!$D$37,0)</x:f>
        <x:v>80</x:v>
      </x:c>
      <x:c r="AG120" s="113" t="n">
        <x:f>IF(AG86&gt;='Scenarios'!$D$36,'Scenarios'!$D$37,0)</x:f>
        <x:v>80</x:v>
      </x:c>
      <x:c r="AH120" s="113" t="n">
        <x:f>IF(AH86&gt;='Scenarios'!$D$36,'Scenarios'!$D$37,0)</x:f>
        <x:v>80</x:v>
      </x:c>
      <x:c r="AI120" s="113" t="n">
        <x:f>IF(AI86&gt;='Scenarios'!$D$36,'Scenarios'!$D$37,0)</x:f>
        <x:v>80</x:v>
      </x:c>
      <x:c r="AJ120" s="113" t="n">
        <x:f>IF(AJ86&gt;='Scenarios'!$D$36,'Scenarios'!$D$37,0)</x:f>
        <x:v>80</x:v>
      </x:c>
      <x:c r="AK120" s="113" t="n">
        <x:f>IF(AK86&gt;='Scenarios'!$D$36,'Scenarios'!$D$37,0)</x:f>
        <x:v>80</x:v>
      </x:c>
      <x:c r="AL120" s="113" t="n">
        <x:f>IF(AL86&gt;='Scenarios'!$D$36,'Scenarios'!$D$37,0)</x:f>
        <x:v>80</x:v>
      </x:c>
    </x:row>
    <x:row r="121">
      <x:c r="A121" s="84" t="str">
        <x:v>Core contractor hours used</x:v>
      </x:c>
      <x:c r="B121" s="84" t="str">
        <x:v>hours</x:v>
      </x:c>
      <x:c r="C121" s="113" t="n">
        <x:f>MIN(MAX(C117-C119,0),C120)</x:f>
        <x:v>0</x:v>
      </x:c>
      <x:c r="D121" s="113" t="n">
        <x:f>MIN(MAX(D117-D119,0),D120)</x:f>
        <x:v>0</x:v>
      </x:c>
      <x:c r="E121" s="113" t="n">
        <x:f>MIN(MAX(E117-E119,0),E120)</x:f>
        <x:v>0</x:v>
      </x:c>
      <x:c r="F121" s="113" t="n">
        <x:f>MIN(MAX(F117-F119,0),F120)</x:f>
        <x:v>0</x:v>
      </x:c>
      <x:c r="G121" s="113" t="n">
        <x:f>MIN(MAX(G117-G119,0),G120)</x:f>
        <x:v>0</x:v>
      </x:c>
      <x:c r="H121" s="113" t="n">
        <x:f>MIN(MAX(H117-H119,0),H120)</x:f>
        <x:v>0</x:v>
      </x:c>
      <x:c r="I121" s="113" t="n">
        <x:f>MIN(MAX(I117-I119,0),I120)</x:f>
        <x:v>0</x:v>
      </x:c>
      <x:c r="J121" s="113" t="n">
        <x:f>MIN(MAX(J117-J119,0),J120)</x:f>
        <x:v>0</x:v>
      </x:c>
      <x:c r="K121" s="113" t="n">
        <x:f>MIN(MAX(K117-K119,0),K120)</x:f>
        <x:v>0</x:v>
      </x:c>
      <x:c r="L121" s="113" t="n">
        <x:f>MIN(MAX(L117-L119,0),L120)</x:f>
        <x:v>0</x:v>
      </x:c>
      <x:c r="M121" s="113" t="n">
        <x:f>MIN(MAX(M117-M119,0),M120)</x:f>
        <x:v>0</x:v>
      </x:c>
      <x:c r="N121" s="113" t="n">
        <x:f>MIN(MAX(N117-N119,0),N120)</x:f>
        <x:v>0</x:v>
      </x:c>
      <x:c r="O121" s="113" t="n">
        <x:f>MIN(MAX(O117-O119,0),O120)</x:f>
        <x:v>0</x:v>
      </x:c>
      <x:c r="P121" s="113" t="n">
        <x:f>MIN(MAX(P117-P119,0),P120)</x:f>
        <x:v>0</x:v>
      </x:c>
      <x:c r="Q121" s="113" t="n">
        <x:f>MIN(MAX(Q117-Q119,0),Q120)</x:f>
        <x:v>23.86911678271771</x:v>
      </x:c>
      <x:c r="R121" s="113" t="n">
        <x:f>MIN(MAX(R117-R119,0),R120)</x:f>
        <x:v>28.81358003097695</x:v>
      </x:c>
      <x:c r="S121" s="113" t="n">
        <x:f>MIN(MAX(S117-S119,0),S120)</x:f>
        <x:v>33.683876330512305</x:v>
      </x:c>
      <x:c r="T121" s="113" t="n">
        <x:f>MIN(MAX(T117-T119,0),T120)</x:f>
        <x:v>38.48111818555461</x:v>
      </x:c>
      <x:c r="U121" s="113" t="n">
        <x:f>MIN(MAX(U117-U119,0),U120)</x:f>
        <x:v>45.206401412771285</x:v>
      </x:c>
      <x:c r="V121" s="113" t="n">
        <x:f>MIN(MAX(V117-V119,0),V120)</x:f>
        <x:v>55.86080539157973</x:v>
      </x:c>
      <x:c r="W121" s="113" t="n">
        <x:f>MIN(MAX(W117-W119,0),W120)</x:f>
        <x:v>61.83664331070602</x:v>
      </x:c>
      <x:c r="X121" s="113" t="n">
        <x:f>MIN(MAX(X117-X119,0),X120)</x:f>
        <x:v>67.72284366104545</x:v>
      </x:c>
      <x:c r="Y121" s="113" t="n">
        <x:f>MIN(MAX(Y117-Y119,0),Y120)</x:f>
        <x:v>73.52075100612973</x:v>
      </x:c>
      <x:c r="Z121" s="113" t="n">
        <x:f>MIN(MAX(Z117-Z119,0),Z120)</x:f>
        <x:v>79.23168974103783</x:v>
      </x:c>
      <x:c r="AA121" s="113" t="n">
        <x:f>MIN(MAX(AA117-AA119,0),AA120)</x:f>
        <x:v>80</x:v>
      </x:c>
      <x:c r="AB121" s="113" t="n">
        <x:f>MIN(MAX(AB117-AB119,0),AB120)</x:f>
        <x:v>80</x:v>
      </x:c>
      <x:c r="AC121" s="113" t="n">
        <x:f>MIN(MAX(AC117-AC119,0),AC120)</x:f>
        <x:v>80</x:v>
      </x:c>
      <x:c r="AD121" s="113" t="n">
        <x:f>MIN(MAX(AD117-AD119,0),AD120)</x:f>
        <x:v>80</x:v>
      </x:c>
      <x:c r="AE121" s="113" t="n">
        <x:f>MIN(MAX(AE117-AE119,0),AE120)</x:f>
        <x:v>80</x:v>
      </x:c>
      <x:c r="AF121" s="113" t="n">
        <x:f>MIN(MAX(AF117-AF119,0),AF120)</x:f>
        <x:v>80</x:v>
      </x:c>
      <x:c r="AG121" s="113" t="n">
        <x:f>MIN(MAX(AG117-AG119,0),AG120)</x:f>
        <x:v>80</x:v>
      </x:c>
      <x:c r="AH121" s="113" t="n">
        <x:f>MIN(MAX(AH117-AH119,0),AH120)</x:f>
        <x:v>80</x:v>
      </x:c>
      <x:c r="AI121" s="113" t="n">
        <x:f>MIN(MAX(AI117-AI119,0),AI120)</x:f>
        <x:v>80</x:v>
      </x:c>
      <x:c r="AJ121" s="113" t="n">
        <x:f>MIN(MAX(AJ117-AJ119,0),AJ120)</x:f>
        <x:v>80</x:v>
      </x:c>
      <x:c r="AK121" s="113" t="n">
        <x:f>MIN(MAX(AK117-AK119,0),AK120)</x:f>
        <x:v>80</x:v>
      </x:c>
      <x:c r="AL121" s="113" t="n">
        <x:f>MIN(MAX(AL117-AL119,0),AL120)</x:f>
        <x:v>80</x:v>
      </x:c>
    </x:row>
    <x:row r="122">
      <x:c r="A122" s="84" t="str">
        <x:v>Flex contractor hours required</x:v>
      </x:c>
      <x:c r="B122" s="84" t="str">
        <x:v>hours</x:v>
      </x:c>
      <x:c r="C122" s="113" t="n">
        <x:f>MAX(C117-C119-C121,0)</x:f>
        <x:v>0</x:v>
      </x:c>
      <x:c r="D122" s="113" t="n">
        <x:f>MAX(D117-D119-D121,0)</x:f>
        <x:v>0</x:v>
      </x:c>
      <x:c r="E122" s="113" t="n">
        <x:f>MAX(E117-E119-E121,0)</x:f>
        <x:v>0</x:v>
      </x:c>
      <x:c r="F122" s="113" t="n">
        <x:f>MAX(F117-F119-F121,0)</x:f>
        <x:v>0</x:v>
      </x:c>
      <x:c r="G122" s="113" t="n">
        <x:f>MAX(G117-G119-G121,0)</x:f>
        <x:v>0</x:v>
      </x:c>
      <x:c r="H122" s="113" t="n">
        <x:f>MAX(H117-H119-H121,0)</x:f>
        <x:v>0</x:v>
      </x:c>
      <x:c r="I122" s="113" t="n">
        <x:f>MAX(I117-I119-I121,0)</x:f>
        <x:v>0</x:v>
      </x:c>
      <x:c r="J122" s="113" t="n">
        <x:f>MAX(J117-J119-J121,0)</x:f>
        <x:v>0</x:v>
      </x:c>
      <x:c r="K122" s="113" t="n">
        <x:f>MAX(K117-K119-K121,0)</x:f>
        <x:v>0</x:v>
      </x:c>
      <x:c r="L122" s="113" t="n">
        <x:f>MAX(L117-L119-L121,0)</x:f>
        <x:v>0</x:v>
      </x:c>
      <x:c r="M122" s="113" t="n">
        <x:f>MAX(M117-M119-M121,0)</x:f>
        <x:v>0</x:v>
      </x:c>
      <x:c r="N122" s="113" t="n">
        <x:f>MAX(N117-N119-N121,0)</x:f>
        <x:v>1.776569238903285</x:v>
      </x:c>
      <x:c r="O122" s="113" t="n">
        <x:f>MAX(O117-O119-O121,0)</x:f>
        <x:v>7.69757070031973</x:v>
      </x:c>
      <x:c r="P122" s="113" t="n">
        <x:f>MAX(P117-P119-P121,0)</x:f>
        <x:v>18.84935713981494</x:v>
      </x:c>
      <x:c r="Q122" s="113" t="n">
        <x:f>MAX(Q117-Q119-Q121,0)</x:f>
        <x:v>0</x:v>
      </x:c>
      <x:c r="R122" s="113" t="n">
        <x:f>MAX(R117-R119-R121,0)</x:f>
        <x:v>0</x:v>
      </x:c>
      <x:c r="S122" s="113" t="n">
        <x:f>MAX(S117-S119-S121,0)</x:f>
        <x:v>0</x:v>
      </x:c>
      <x:c r="T122" s="113" t="n">
        <x:f>MAX(T117-T119-T121,0)</x:f>
        <x:v>0</x:v>
      </x:c>
      <x:c r="U122" s="113" t="n">
        <x:f>MAX(U117-U119-U121,0)</x:f>
        <x:v>0</x:v>
      </x:c>
      <x:c r="V122" s="113" t="n">
        <x:f>MAX(V117-V119-V121,0)</x:f>
        <x:v>0</x:v>
      </x:c>
      <x:c r="W122" s="113" t="n">
        <x:f>MAX(W117-W119-W121,0)</x:f>
        <x:v>0</x:v>
      </x:c>
      <x:c r="X122" s="113" t="n">
        <x:f>MAX(X117-X119-X121,0)</x:f>
        <x:v>0</x:v>
      </x:c>
      <x:c r="Y122" s="113" t="n">
        <x:f>MAX(Y117-Y119-Y121,0)</x:f>
        <x:v>0</x:v>
      </x:c>
      <x:c r="Z122" s="113" t="n">
        <x:f>MAX(Z117-Z119-Z121,0)</x:f>
        <x:v>0</x:v>
      </x:c>
      <x:c r="AA122" s="113" t="n">
        <x:f>MAX(AA117-AA119-AA121,0)</x:f>
        <x:v>6.856964394922215</x:v>
      </x:c>
      <x:c r="AB122" s="113" t="n">
        <x:f>MAX(AB117-AB119-AB121,0)</x:f>
        <x:v>18.397859928998372</x:v>
      </x:c>
      <x:c r="AC122" s="113" t="n">
        <x:f>MAX(AC117-AC119-AC121,0)</x:f>
        <x:v>25.246892030063407</x:v>
      </x:c>
      <x:c r="AD122" s="113" t="n">
        <x:f>MAX(AD117-AD119-AD121,0)</x:f>
        <x:v>31.99318864961245</x:v>
      </x:c>
      <x:c r="AE122" s="113" t="n">
        <x:f>MAX(AE117-AE119-AE121,0)</x:f>
        <x:v>38.638290819868274</x:v>
      </x:c>
      <x:c r="AF122" s="113" t="n">
        <x:f>MAX(AF117-AF119-AF121,0)</x:f>
        <x:v>45.183716457570256</x:v>
      </x:c>
      <x:c r="AG122" s="113" t="n">
        <x:f>MAX(AG117-AG119-AG121,0)</x:f>
        <x:v>51.63096071070669</x:v>
      </x:c>
      <x:c r="AH122" s="113" t="n">
        <x:f>MAX(AH117-AH119-AH121,0)</x:f>
        <x:v>57.98149630004613</x:v>
      </x:c>
      <x:c r="AI122" s="113" t="n">
        <x:f>MAX(AI117-AI119-AI121,0)</x:f>
        <x:v>64.23677385554544</x:v>
      </x:c>
      <x:c r="AJ122" s="113" t="n">
        <x:f>MAX(AJ117-AJ119-AJ121,0)</x:f>
        <x:v>70.39822224771228</x:v>
      </x:c>
      <x:c r="AK122" s="113" t="n">
        <x:f>MAX(AK117-AK119-AK121,0)</x:f>
        <x:v>76.4672489139966</x:v>
      </x:c>
      <x:c r="AL122" s="113" t="n">
        <x:f>MAX(AL117-AL119-AL121,0)</x:f>
        <x:v>82.44524018028665</x:v>
      </x:c>
    </x:row>
    <x:row r="123">
      <x:c r="A123" s="84" t="str">
        <x:v>Founder delivery utilization</x:v>
      </x:c>
      <x:c r="B123" s="84" t="str">
        <x:v>%</x:v>
      </x:c>
      <x:c r="C123" s="116" t="n">
        <x:f>IF(C118=0,0,C119/C118)</x:f>
        <x:v>0.09884615384615386</x:v>
      </x:c>
      <x:c r="D123" s="116" t="n">
        <x:f>IF(D118=0,0,D119/D118)</x:f>
        <x:v>0.25115384615384617</x:v>
      </x:c>
      <x:c r="E123" s="116" t="n">
        <x:f>IF(E118=0,0,E119/E118)</x:f>
        <x:v>0.28647019230769233</x:v>
      </x:c>
      <x:c r="F123" s="116" t="n">
        <x:f>IF(F118=0,0,F119/F118)</x:f>
        <x:v>0.37356448557692307</x:v>
      </x:c>
      <x:c r="G123" s="116" t="n">
        <x:f>IF(G118=0,0,G119/G118)</x:f>
        <x:v>0.5647523644471154</x:v>
      </x:c>
      <x:c r="H123" s="116" t="n">
        <x:f>IF(H118=0,0,H119/H118)</x:f>
        <x:v>0.6348897328265626</x:v>
      </x:c>
      <x:c r="I123" s="116" t="n">
        <x:f>IF(I118=0,0,I119/I118)</x:f>
        <x:v>0.7039750406803178</x:v>
      </x:c>
      <x:c r="J123" s="116" t="n">
        <x:f>IF(J118=0,0,J119/J118)</x:f>
        <x:v>0.7720240689162671</x:v>
      </x:c>
      <x:c r="K123" s="116" t="n">
        <x:f>IF(K118=0,0,K119/K118)</x:f>
        <x:v>0.8390523617286768</x:v>
      </x:c>
      <x:c r="L123" s="116" t="n">
        <x:f>IF(L118=0,0,L119/L118)</x:f>
        <x:v>0.9050752301489005</x:v>
      </x:c>
      <x:c r="M123" s="116" t="n">
        <x:f>IF(M118=0,0,M119/M118)</x:f>
        <x:v>0.970107755542821</x:v>
      </x:c>
      <x:c r="N123" s="116" t="n">
        <x:f>IF(N118=0,0,N119/N118)</x:f>
        <x:v>1</x:v>
      </x:c>
      <x:c r="O123" s="116" t="n">
        <x:f>IF(O118=0,0,O119/O118)</x:f>
        <x:v>1</x:v>
      </x:c>
      <x:c r="P123" s="116" t="n">
        <x:f>IF(P118=0,0,P119/P118)</x:f>
        <x:v>1</x:v>
      </x:c>
      <x:c r="Q123" s="116" t="n">
        <x:f>IF(Q118=0,0,Q119/Q118)</x:f>
        <x:v>1</x:v>
      </x:c>
      <x:c r="R123" s="116" t="n">
        <x:f>IF(R118=0,0,R119/R118)</x:f>
        <x:v>1</x:v>
      </x:c>
      <x:c r="S123" s="116" t="n">
        <x:f>IF(S118=0,0,S119/S118)</x:f>
        <x:v>1</x:v>
      </x:c>
      <x:c r="T123" s="116" t="n">
        <x:f>IF(T118=0,0,T119/T118)</x:f>
        <x:v>1</x:v>
      </x:c>
      <x:c r="U123" s="116" t="n">
        <x:f>IF(U118=0,0,U119/U118)</x:f>
        <x:v>1</x:v>
      </x:c>
      <x:c r="V123" s="116" t="n">
        <x:f>IF(V118=0,0,V119/V118)</x:f>
        <x:v>1</x:v>
      </x:c>
      <x:c r="W123" s="116" t="n">
        <x:f>IF(W118=0,0,W119/W118)</x:f>
        <x:v>1</x:v>
      </x:c>
      <x:c r="X123" s="116" t="n">
        <x:f>IF(X118=0,0,X119/X118)</x:f>
        <x:v>1</x:v>
      </x:c>
      <x:c r="Y123" s="116" t="n">
        <x:f>IF(Y118=0,0,Y119/Y118)</x:f>
        <x:v>1</x:v>
      </x:c>
      <x:c r="Z123" s="116" t="n">
        <x:f>IF(Z118=0,0,Z119/Z118)</x:f>
        <x:v>1</x:v>
      </x:c>
      <x:c r="AA123" s="116" t="n">
        <x:f>IF(AA118=0,0,AA119/AA118)</x:f>
        <x:v>1</x:v>
      </x:c>
      <x:c r="AB123" s="116" t="n">
        <x:f>IF(AB118=0,0,AB119/AB118)</x:f>
        <x:v>1</x:v>
      </x:c>
      <x:c r="AC123" s="116" t="n">
        <x:f>IF(AC118=0,0,AC119/AC118)</x:f>
        <x:v>1</x:v>
      </x:c>
      <x:c r="AD123" s="116" t="n">
        <x:f>IF(AD118=0,0,AD119/AD118)</x:f>
        <x:v>1</x:v>
      </x:c>
      <x:c r="AE123" s="116" t="n">
        <x:f>IF(AE118=0,0,AE119/AE118)</x:f>
        <x:v>1</x:v>
      </x:c>
      <x:c r="AF123" s="116" t="n">
        <x:f>IF(AF118=0,0,AF119/AF118)</x:f>
        <x:v>1</x:v>
      </x:c>
      <x:c r="AG123" s="116" t="n">
        <x:f>IF(AG118=0,0,AG119/AG118)</x:f>
        <x:v>1</x:v>
      </x:c>
      <x:c r="AH123" s="116" t="n">
        <x:f>IF(AH118=0,0,AH119/AH118)</x:f>
        <x:v>1</x:v>
      </x:c>
      <x:c r="AI123" s="116" t="n">
        <x:f>IF(AI118=0,0,AI119/AI118)</x:f>
        <x:v>1</x:v>
      </x:c>
      <x:c r="AJ123" s="116" t="n">
        <x:f>IF(AJ118=0,0,AJ119/AJ118)</x:f>
        <x:v>1</x:v>
      </x:c>
      <x:c r="AK123" s="116" t="n">
        <x:f>IF(AK118=0,0,AK119/AK118)</x:f>
        <x:v>1</x:v>
      </x:c>
      <x:c r="AL123" s="116" t="n">
        <x:f>IF(AL118=0,0,AL119/AL118)</x:f>
        <x:v>1</x:v>
      </x:c>
    </x:row>
    <x:row r="124">
      <x:c r="A124" s="63" t="str">
        <x:v>COST OF SERVICE + GROSS MARGIN</x:v>
      </x:c>
      <x:c r="B124" s="63" t="str"/>
      <x:c r="C124" s="112"/>
      <x:c r="D124" s="112"/>
      <x:c r="E124" s="112"/>
      <x:c r="F124" s="112"/>
      <x:c r="G124" s="112"/>
      <x:c r="H124" s="112"/>
      <x:c r="I124" s="112"/>
      <x:c r="J124" s="112"/>
      <x:c r="K124" s="112"/>
      <x:c r="L124" s="112"/>
      <x:c r="M124" s="112"/>
      <x:c r="N124" s="112"/>
      <x:c r="O124" s="112"/>
      <x:c r="P124" s="112"/>
      <x:c r="Q124" s="112"/>
      <x:c r="R124" s="112"/>
      <x:c r="S124" s="112"/>
      <x:c r="T124" s="112"/>
      <x:c r="U124" s="112"/>
      <x:c r="V124" s="112"/>
      <x:c r="W124" s="112"/>
      <x:c r="X124" s="112"/>
      <x:c r="Y124" s="112"/>
      <x:c r="Z124" s="112"/>
      <x:c r="AA124" s="112"/>
      <x:c r="AB124" s="112"/>
      <x:c r="AC124" s="112"/>
      <x:c r="AD124" s="112"/>
      <x:c r="AE124" s="112"/>
      <x:c r="AF124" s="112"/>
      <x:c r="AG124" s="112"/>
      <x:c r="AH124" s="112"/>
      <x:c r="AI124" s="112"/>
      <x:c r="AJ124" s="112"/>
      <x:c r="AK124" s="112"/>
      <x:c r="AL124" s="112"/>
    </x:row>
    <x:row r="125">
      <x:c r="A125" s="84" t="str">
        <x:v>External delivery labour</x:v>
      </x:c>
      <x:c r="B125" s="84" t="str">
        <x:v>$</x:v>
      </x:c>
      <x:c r="C125" s="114" t="n">
        <x:f>C121*'Scenarios'!$D$38+C122*'Scenarios'!$D$39</x:f>
        <x:v>0</x:v>
      </x:c>
      <x:c r="D125" s="114" t="n">
        <x:f>D121*'Scenarios'!$D$38+D122*'Scenarios'!$D$39</x:f>
        <x:v>0</x:v>
      </x:c>
      <x:c r="E125" s="114" t="n">
        <x:f>E121*'Scenarios'!$D$38+E122*'Scenarios'!$D$39</x:f>
        <x:v>0</x:v>
      </x:c>
      <x:c r="F125" s="114" t="n">
        <x:f>F121*'Scenarios'!$D$38+F122*'Scenarios'!$D$39</x:f>
        <x:v>0</x:v>
      </x:c>
      <x:c r="G125" s="114" t="n">
        <x:f>G121*'Scenarios'!$D$38+G122*'Scenarios'!$D$39</x:f>
        <x:v>0</x:v>
      </x:c>
      <x:c r="H125" s="114" t="n">
        <x:f>H121*'Scenarios'!$D$38+H122*'Scenarios'!$D$39</x:f>
        <x:v>0</x:v>
      </x:c>
      <x:c r="I125" s="114" t="n">
        <x:f>I121*'Scenarios'!$D$38+I122*'Scenarios'!$D$39</x:f>
        <x:v>0</x:v>
      </x:c>
      <x:c r="J125" s="114" t="n">
        <x:f>J121*'Scenarios'!$D$38+J122*'Scenarios'!$D$39</x:f>
        <x:v>0</x:v>
      </x:c>
      <x:c r="K125" s="114" t="n">
        <x:f>K121*'Scenarios'!$D$38+K122*'Scenarios'!$D$39</x:f>
        <x:v>0</x:v>
      </x:c>
      <x:c r="L125" s="114" t="n">
        <x:f>L121*'Scenarios'!$D$38+L122*'Scenarios'!$D$39</x:f>
        <x:v>0</x:v>
      </x:c>
      <x:c r="M125" s="114" t="n">
        <x:f>M121*'Scenarios'!$D$38+M122*'Scenarios'!$D$39</x:f>
        <x:v>0</x:v>
      </x:c>
      <x:c r="N125" s="114" t="n">
        <x:f>N121*'Scenarios'!$D$38+N122*'Scenarios'!$D$39</x:f>
        <x:v>222.07115486291062</x:v>
      </x:c>
      <x:c r="O125" s="114" t="n">
        <x:f>O121*'Scenarios'!$D$38+O122*'Scenarios'!$D$39</x:f>
        <x:v>962.1963375399663</x:v>
      </x:c>
      <x:c r="P125" s="114" t="n">
        <x:f>P121*'Scenarios'!$D$38+P122*'Scenarios'!$D$39</x:f>
        <x:v>2356.1696424768675</x:v>
      </x:c>
      <x:c r="Q125" s="114" t="n">
        <x:f>Q121*'Scenarios'!$D$38+Q122*'Scenarios'!$D$39</x:f>
        <x:v>2267.5660943581825</x:v>
      </x:c>
      <x:c r="R125" s="114" t="n">
        <x:f>R121*'Scenarios'!$D$38+R122*'Scenarios'!$D$39</x:f>
        <x:v>2737.2901029428103</x:v>
      </x:c>
      <x:c r="S125" s="114" t="n">
        <x:f>S121*'Scenarios'!$D$38+S122*'Scenarios'!$D$39</x:f>
        <x:v>3199.968251398669</x:v>
      </x:c>
      <x:c r="T125" s="114" t="n">
        <x:f>T121*'Scenarios'!$D$38+T122*'Scenarios'!$D$39</x:f>
        <x:v>3655.7062276276874</x:v>
      </x:c>
      <x:c r="U125" s="114" t="n">
        <x:f>U121*'Scenarios'!$D$38+U122*'Scenarios'!$D$39</x:f>
        <x:v>4294.608134213272</x:v>
      </x:c>
      <x:c r="V125" s="114" t="n">
        <x:f>V121*'Scenarios'!$D$38+V122*'Scenarios'!$D$39</x:f>
        <x:v>5306.776512200075</x:v>
      </x:c>
      <x:c r="W125" s="114" t="n">
        <x:f>W121*'Scenarios'!$D$38+W122*'Scenarios'!$D$39</x:f>
        <x:v>5874.4811145170725</x:v>
      </x:c>
      <x:c r="X125" s="114" t="n">
        <x:f>X121*'Scenarios'!$D$38+X122*'Scenarios'!$D$39</x:f>
        <x:v>6433.670147799317</x:v>
      </x:c>
      <x:c r="Y125" s="114" t="n">
        <x:f>Y121*'Scenarios'!$D$38+Y122*'Scenarios'!$D$39</x:f>
        <x:v>6984.471345582324</x:v>
      </x:c>
      <x:c r="Z125" s="114" t="n">
        <x:f>Z121*'Scenarios'!$D$38+Z122*'Scenarios'!$D$39</x:f>
        <x:v>7527.010525398593</x:v>
      </x:c>
      <x:c r="AA125" s="114" t="n">
        <x:f>AA121*'Scenarios'!$D$38+AA122*'Scenarios'!$D$39</x:f>
        <x:v>8457.120549365278</x:v>
      </x:c>
      <x:c r="AB125" s="114" t="n">
        <x:f>AB121*'Scenarios'!$D$38+AB122*'Scenarios'!$D$39</x:f>
        <x:v>9899.732491124796</x:v>
      </x:c>
      <x:c r="AC125" s="114" t="n">
        <x:f>AC121*'Scenarios'!$D$38+AC122*'Scenarios'!$D$39</x:f>
        <x:v>10755.861503757926</x:v>
      </x:c>
      <x:c r="AD125" s="114" t="n">
        <x:f>AD121*'Scenarios'!$D$38+AD122*'Scenarios'!$D$39</x:f>
        <x:v>11599.148581201556</x:v>
      </x:c>
      <x:c r="AE125" s="114" t="n">
        <x:f>AE121*'Scenarios'!$D$38+AE122*'Scenarios'!$D$39</x:f>
        <x:v>12429.786352483534</x:v>
      </x:c>
      <x:c r="AF125" s="114" t="n">
        <x:f>AF121*'Scenarios'!$D$38+AF122*'Scenarios'!$D$39</x:f>
        <x:v>13247.964557196283</x:v>
      </x:c>
      <x:c r="AG125" s="114" t="n">
        <x:f>AG121*'Scenarios'!$D$38+AG122*'Scenarios'!$D$39</x:f>
        <x:v>14053.870088838336</x:v>
      </x:c>
      <x:c r="AH125" s="114" t="n">
        <x:f>AH121*'Scenarios'!$D$38+AH122*'Scenarios'!$D$39</x:f>
        <x:v>14847.687037505766</x:v>
      </x:c>
      <x:c r="AI125" s="114" t="n">
        <x:f>AI121*'Scenarios'!$D$38+AI122*'Scenarios'!$D$39</x:f>
        <x:v>15629.59673194318</x:v>
      </x:c>
      <x:c r="AJ125" s="114" t="n">
        <x:f>AJ121*'Scenarios'!$D$38+AJ122*'Scenarios'!$D$39</x:f>
        <x:v>16399.777780964036</x:v>
      </x:c>
      <x:c r="AK125" s="114" t="n">
        <x:f>AK121*'Scenarios'!$D$38+AK122*'Scenarios'!$D$39</x:f>
        <x:v>17158.406114249578</x:v>
      </x:c>
      <x:c r="AL125" s="114" t="n">
        <x:f>AL121*'Scenarios'!$D$38+AL122*'Scenarios'!$D$39</x:f>
        <x:v>17905.65502253583</x:v>
      </x:c>
    </x:row>
    <x:row r="126">
      <x:c r="A126" s="84" t="str">
        <x:v>Founder economic delivery cost</x:v>
      </x:c>
      <x:c r="B126" s="84" t="str">
        <x:v>$</x:v>
      </x:c>
      <x:c r="C126" s="114" t="n">
        <x:f>C119*'Scenarios'!$D$33</x:f>
        <x:v>642.5000000000001</x:v>
      </x:c>
      <x:c r="D126" s="114" t="n">
        <x:f>D119*'Scenarios'!$D$33</x:f>
        <x:v>1632.5</x:v>
      </x:c>
      <x:c r="E126" s="114" t="n">
        <x:f>E119*'Scenarios'!$D$33</x:f>
        <x:v>1862.05625</x:v>
      </x:c>
      <x:c r="F126" s="114" t="n">
        <x:f>F119*'Scenarios'!$D$33</x:f>
        <x:v>2428.16915625</x:v>
      </x:c>
      <x:c r="G126" s="114" t="n">
        <x:f>G119*'Scenarios'!$D$33</x:f>
        <x:v>3670.89036890625</x:v>
      </x:c>
      <x:c r="H126" s="114" t="n">
        <x:f>H119*'Scenarios'!$D$33</x:f>
        <x:v>4126.783263372657</x:v>
      </x:c>
      <x:c r="I126" s="114" t="n">
        <x:f>I119*'Scenarios'!$D$33</x:f>
        <x:v>4575.837764422066</x:v>
      </x:c>
      <x:c r="J126" s="114" t="n">
        <x:f>J119*'Scenarios'!$D$33</x:f>
        <x:v>5018.1564479557355</x:v>
      </x:c>
      <x:c r="K126" s="114" t="n">
        <x:f>K119*'Scenarios'!$D$33</x:f>
        <x:v>5453.840351236399</x:v>
      </x:c>
      <x:c r="L126" s="114" t="n">
        <x:f>L119*'Scenarios'!$D$33</x:f>
        <x:v>5882.988995967853</x:v>
      </x:c>
      <x:c r="M126" s="114" t="n">
        <x:f>M119*'Scenarios'!$D$33</x:f>
        <x:v>6305.700411028337</x:v>
      </x:c>
      <x:c r="N126" s="114" t="n">
        <x:f>N119*'Scenarios'!$D$33</x:f>
        <x:v>6500</x:v>
      </x:c>
      <x:c r="O126" s="114" t="n">
        <x:f>O119*'Scenarios'!$D$33</x:f>
        <x:v>6500</x:v>
      </x:c>
      <x:c r="P126" s="114" t="n">
        <x:f>P119*'Scenarios'!$D$33</x:f>
        <x:v>6500</x:v>
      </x:c>
      <x:c r="Q126" s="114" t="n">
        <x:f>Q119*'Scenarios'!$D$33</x:f>
        <x:v>6500</x:v>
      </x:c>
      <x:c r="R126" s="114" t="n">
        <x:f>R119*'Scenarios'!$D$33</x:f>
        <x:v>6500</x:v>
      </x:c>
      <x:c r="S126" s="114" t="n">
        <x:f>S119*'Scenarios'!$D$33</x:f>
        <x:v>6500</x:v>
      </x:c>
      <x:c r="T126" s="114" t="n">
        <x:f>T119*'Scenarios'!$D$33</x:f>
        <x:v>6500</x:v>
      </x:c>
      <x:c r="U126" s="114" t="n">
        <x:f>U119*'Scenarios'!$D$33</x:f>
        <x:v>6500</x:v>
      </x:c>
      <x:c r="V126" s="114" t="n">
        <x:f>V119*'Scenarios'!$D$33</x:f>
        <x:v>6500</x:v>
      </x:c>
      <x:c r="W126" s="114" t="n">
        <x:f>W119*'Scenarios'!$D$33</x:f>
        <x:v>6500</x:v>
      </x:c>
      <x:c r="X126" s="114" t="n">
        <x:f>X119*'Scenarios'!$D$33</x:f>
        <x:v>6500</x:v>
      </x:c>
      <x:c r="Y126" s="114" t="n">
        <x:f>Y119*'Scenarios'!$D$33</x:f>
        <x:v>6500</x:v>
      </x:c>
      <x:c r="Z126" s="114" t="n">
        <x:f>Z119*'Scenarios'!$D$33</x:f>
        <x:v>6500</x:v>
      </x:c>
      <x:c r="AA126" s="114" t="n">
        <x:f>AA119*'Scenarios'!$D$33</x:f>
        <x:v>6500</x:v>
      </x:c>
      <x:c r="AB126" s="114" t="n">
        <x:f>AB119*'Scenarios'!$D$33</x:f>
        <x:v>6500</x:v>
      </x:c>
      <x:c r="AC126" s="114" t="n">
        <x:f>AC119*'Scenarios'!$D$33</x:f>
        <x:v>6500</x:v>
      </x:c>
      <x:c r="AD126" s="114" t="n">
        <x:f>AD119*'Scenarios'!$D$33</x:f>
        <x:v>6500</x:v>
      </x:c>
      <x:c r="AE126" s="114" t="n">
        <x:f>AE119*'Scenarios'!$D$33</x:f>
        <x:v>6500</x:v>
      </x:c>
      <x:c r="AF126" s="114" t="n">
        <x:f>AF119*'Scenarios'!$D$33</x:f>
        <x:v>6500</x:v>
      </x:c>
      <x:c r="AG126" s="114" t="n">
        <x:f>AG119*'Scenarios'!$D$33</x:f>
        <x:v>6500</x:v>
      </x:c>
      <x:c r="AH126" s="114" t="n">
        <x:f>AH119*'Scenarios'!$D$33</x:f>
        <x:v>6500</x:v>
      </x:c>
      <x:c r="AI126" s="114" t="n">
        <x:f>AI119*'Scenarios'!$D$33</x:f>
        <x:v>6500</x:v>
      </x:c>
      <x:c r="AJ126" s="114" t="n">
        <x:f>AJ119*'Scenarios'!$D$33</x:f>
        <x:v>6500</x:v>
      </x:c>
      <x:c r="AK126" s="114" t="n">
        <x:f>AK119*'Scenarios'!$D$33</x:f>
        <x:v>6500</x:v>
      </x:c>
      <x:c r="AL126" s="114" t="n">
        <x:f>AL119*'Scenarios'!$D$33</x:f>
        <x:v>6500</x:v>
      </x:c>
    </x:row>
    <x:row r="127">
      <x:c r="A127" s="84" t="str">
        <x:v>Platform / direct account cost</x:v>
      </x:c>
      <x:c r="B127" s="84" t="str">
        <x:v>$</x:v>
      </x:c>
      <x:c r="C127" s="114" t="n">
        <x:f>C93*'Scenarios'!$D$48</x:f>
        <x:v>0</x:v>
      </x:c>
      <x:c r="D127" s="114" t="n">
        <x:f>D93*'Scenarios'!$D$48</x:f>
        <x:v>0</x:v>
      </x:c>
      <x:c r="E127" s="114" t="n">
        <x:f>E93*'Scenarios'!$D$48</x:f>
        <x:v>22.275000000000002</x:v>
      </x:c>
      <x:c r="F127" s="114" t="n">
        <x:f>F93*'Scenarios'!$D$48</x:f>
        <x:v>44.215875000000004</x:v>
      </x:c>
      <x:c r="G127" s="114" t="n">
        <x:f>G93*'Scenarios'!$D$48</x:f>
        <x:v>65.82763687500001</x:v>
      </x:c>
      <x:c r="H127" s="114" t="n">
        <x:f>H93*'Scenarios'!$D$48</x:f>
        <x:v>110.06522232187501</x:v>
      </x:c>
      <x:c r="I127" s="114" t="n">
        <x:f>I93*'Scenarios'!$D$48</x:f>
        <x:v>153.63924398704688</x:v>
      </x:c>
      <x:c r="J127" s="114" t="n">
        <x:f>J93*'Scenarios'!$D$48</x:f>
        <x:v>196.5596553272412</x:v>
      </x:c>
      <x:c r="K127" s="114" t="n">
        <x:f>K93*'Scenarios'!$D$48</x:f>
        <x:v>238.83626049733255</x:v>
      </x:c>
      <x:c r="L127" s="114" t="n">
        <x:f>L93*'Scenarios'!$D$48</x:f>
        <x:v>280.4787165898726</x:v>
      </x:c>
      <x:c r="M127" s="114" t="n">
        <x:f>M93*'Scenarios'!$D$48</x:f>
        <x:v>321.49653584102447</x:v>
      </x:c>
      <x:c r="N127" s="114" t="n">
        <x:f>N93*'Scenarios'!$D$48</x:f>
        <x:v>361.8990878034091</x:v>
      </x:c>
      <x:c r="O127" s="114" t="n">
        <x:f>O93*'Scenarios'!$D$48</x:f>
        <x:v>401.69560148635793</x:v>
      </x:c>
      <x:c r="P127" s="114" t="n">
        <x:f>P93*'Scenarios'!$D$48</x:f>
        <x:v>440.8951674640626</x:v>
      </x:c>
      <x:c r="Q127" s="114" t="n">
        <x:f>Q93*'Scenarios'!$D$48</x:f>
        <x:v>501.78173995210165</x:v>
      </x:c>
      <x:c r="R127" s="114" t="n">
        <x:f>R93*'Scenarios'!$D$48</x:f>
        <x:v>561.7550138528202</x:v>
      </x:c>
      <x:c r="S127" s="114" t="n">
        <x:f>S93*'Scenarios'!$D$48</x:f>
        <x:v>620.8286886450278</x:v>
      </x:c>
      <x:c r="T127" s="114" t="n">
        <x:f>T93*'Scenarios'!$D$48</x:f>
        <x:v>679.0162583153524</x:v>
      </x:c>
      <x:c r="U127" s="114" t="n">
        <x:f>U93*'Scenarios'!$D$48</x:f>
        <x:v>736.3310144406222</x:v>
      </x:c>
      <x:c r="V127" s="114" t="n">
        <x:f>V93*'Scenarios'!$D$48</x:f>
        <x:v>792.7860492240129</x:v>
      </x:c>
      <x:c r="W127" s="114" t="n">
        <x:f>W93*'Scenarios'!$D$48</x:f>
        <x:v>865.2692584856526</x:v>
      </x:c>
      <x:c r="X127" s="114" t="n">
        <x:f>X93*'Scenarios'!$D$48</x:f>
        <x:v>936.6652196083679</x:v>
      </x:c>
      <x:c r="Y127" s="114" t="n">
        <x:f>Y93*'Scenarios'!$D$48</x:f>
        <x:v>1006.9902413142423</x:v>
      </x:c>
      <x:c r="Z127" s="114" t="n">
        <x:f>Z93*'Scenarios'!$D$48</x:f>
        <x:v>1076.2603876945286</x:v>
      </x:c>
      <x:c r="AA127" s="114" t="n">
        <x:f>AA93*'Scenarios'!$D$48</x:f>
        <x:v>1144.4914818791108</x:v>
      </x:c>
      <x:c r="AB127" s="114" t="n">
        <x:f>AB93*'Scenarios'!$D$48</x:f>
        <x:v>1211.699109650924</x:v>
      </x:c>
      <x:c r="AC127" s="114" t="n">
        <x:f>AC93*'Scenarios'!$D$48</x:f>
        <x:v>1294.7736230061598</x:v>
      </x:c>
      <x:c r="AD127" s="114" t="n">
        <x:f>AD93*'Scenarios'!$D$48</x:f>
        <x:v>1376.6020186610676</x:v>
      </x:c>
      <x:c r="AE127" s="114" t="n">
        <x:f>AE93*'Scenarios'!$D$48</x:f>
        <x:v>1457.2029883811517</x:v>
      </x:c>
      <x:c r="AF127" s="114" t="n">
        <x:f>AF93*'Scenarios'!$D$48</x:f>
        <x:v>1536.5949435554346</x:v>
      </x:c>
      <x:c r="AG127" s="114" t="n">
        <x:f>AG93*'Scenarios'!$D$48</x:f>
        <x:v>1614.796019402103</x:v>
      </x:c>
      <x:c r="AH127" s="114" t="n">
        <x:f>AH93*'Scenarios'!$D$48</x:f>
        <x:v>1691.8240791110716</x:v>
      </x:c>
      <x:c r="AI127" s="114" t="n">
        <x:f>AI93*'Scenarios'!$D$48</x:f>
        <x:v>1767.6967179244057</x:v>
      </x:c>
      <x:c r="AJ127" s="114" t="n">
        <x:f>AJ93*'Scenarios'!$D$48</x:f>
        <x:v>1842.4312671555397</x:v>
      </x:c>
      <x:c r="AK127" s="114" t="n">
        <x:f>AK93*'Scenarios'!$D$48</x:f>
        <x:v>1916.0447981482068</x:v>
      </x:c>
      <x:c r="AL127" s="114" t="n">
        <x:f>AL93*'Scenarios'!$D$48</x:f>
        <x:v>1988.5541261759838</x:v>
      </x:c>
    </x:row>
    <x:row r="128">
      <x:c r="A128" s="84" t="str">
        <x:v>Payment / bad-debt reserve</x:v>
      </x:c>
      <x:c r="B128" s="84" t="str">
        <x:v>$</x:v>
      </x:c>
      <x:c r="C128" s="114" t="n">
        <x:f>C108*'Scenarios'!$D$49</x:f>
        <x:v>34.9609375</x:v>
      </x:c>
      <x:c r="D128" s="114" t="n">
        <x:f>D108*'Scenarios'!$D$49</x:f>
        <x:v>79.046875</x:v>
      </x:c>
      <x:c r="E128" s="114" t="n">
        <x:f>E108*'Scenarios'!$D$49</x:f>
        <x:v>94.97001953125</x:v>
      </x:c>
      <x:c r="F128" s="114" t="n">
        <x:f>F108*'Scenarios'!$D$49</x:f>
        <x:v>130.57619189453126</x:v>
      </x:c>
      <x:c r="G128" s="114" t="n">
        <x:f>G108*'Scenarios'!$D$49</x:f>
        <x:v>191.4470997973633</x:v>
      </x:c>
      <x:c r="H128" s="114" t="n">
        <x:f>H108*'Scenarios'!$D$49</x:f>
        <x:v>223.0700612691528</x:v>
      </x:c>
      <x:c r="I128" s="114" t="n">
        <x:f>I108*'Scenarios'!$D$49</x:f>
        <x:v>254.21867831886553</x:v>
      </x:c>
      <x:c r="J128" s="114" t="n">
        <x:f>J108*'Scenarios'!$D$49</x:f>
        <x:v>284.9000661128326</x:v>
      </x:c>
      <x:c r="K128" s="114" t="n">
        <x:f>K108*'Scenarios'!$D$49</x:f>
        <x:v>315.12123308989004</x:v>
      </x:c>
      <x:c r="L128" s="114" t="n">
        <x:f>L108*'Scenarios'!$D$49</x:f>
        <x:v>344.88908256229183</x:v>
      </x:c>
      <x:c r="M128" s="114" t="n">
        <x:f>M108*'Scenarios'!$D$49</x:f>
        <x:v>374.21041429260737</x:v>
      </x:c>
      <x:c r="N128" s="114" t="n">
        <x:f>N108*'Scenarios'!$D$49</x:f>
        <x:v>403.0919260469682</x:v>
      </x:c>
      <x:c r="O128" s="114" t="n">
        <x:f>O108*'Scenarios'!$D$49</x:f>
        <x:v>450.8761526250137</x:v>
      </x:c>
      <x:c r="P128" s="114" t="n">
        <x:f>P108*'Scenarios'!$D$49</x:f>
        <x:v>522.9836548668885</x:v>
      </x:c>
      <x:c r="Q128" s="114" t="n">
        <x:f>Q108*'Scenarios'!$D$49</x:f>
        <x:v>566.5080406688852</x:v>
      </x:c>
      <x:c r="R128" s="114" t="n">
        <x:f>R108*'Scenarios'!$D$49</x:f>
        <x:v>609.3795606838519</x:v>
      </x:c>
      <x:c r="S128" s="114" t="n">
        <x:f>S108*'Scenarios'!$D$49</x:f>
        <x:v>651.6080078985941</x:v>
      </x:c>
      <x:c r="T128" s="114" t="n">
        <x:f>T108*'Scenarios'!$D$49</x:f>
        <x:v>693.2030284051152</x:v>
      </x:c>
      <x:c r="U128" s="114" t="n">
        <x:f>U108*'Scenarios'!$D$49</x:f>
        <x:v>748.8225611040385</x:v>
      </x:c>
      <x:c r="V128" s="114" t="n">
        <x:f>V108*'Scenarios'!$D$49</x:f>
        <x:v>822.577527374978</x:v>
      </x:c>
      <x:c r="W128" s="114" t="n">
        <x:f>W108*'Scenarios'!$D$49</x:f>
        <x:v>874.3916964956032</x:v>
      </x:c>
      <x:c r="X128" s="114" t="n">
        <x:f>X108*'Scenarios'!$D$49</x:f>
        <x:v>925.4286530794191</x:v>
      </x:c>
      <x:c r="Y128" s="114" t="n">
        <x:f>Y108*'Scenarios'!$D$49</x:f>
        <x:v>975.7000553144779</x:v>
      </x:c>
      <x:c r="Z128" s="114" t="n">
        <x:f>Z108*'Scenarios'!$D$49</x:f>
        <x:v>1025.2173865160107</x:v>
      </x:c>
      <x:c r="AA128" s="114" t="n">
        <x:f>AA108*'Scenarios'!$D$49</x:f>
        <x:v>1088.6403952495205</x:v>
      </x:c>
      <x:c r="AB128" s="114" t="n">
        <x:f>AB108*'Scenarios'!$D$49</x:f>
        <x:v>1170.0817854145275</x:v>
      </x:c>
      <x:c r="AC128" s="114" t="n">
        <x:f>AC108*'Scenarios'!$D$49</x:f>
        <x:v>1229.4670820708097</x:v>
      </x:c>
      <x:c r="AD128" s="114" t="n">
        <x:f>AD108*'Scenarios'!$D$49</x:f>
        <x:v>1287.9615992772478</x:v>
      </x:c>
      <x:c r="AE128" s="114" t="n">
        <x:f>AE108*'Scenarios'!$D$49</x:f>
        <x:v>1345.578698725589</x:v>
      </x:c>
      <x:c r="AF128" s="114" t="n">
        <x:f>AF108*'Scenarios'!$D$49</x:f>
        <x:v>1402.3315416822052</x:v>
      </x:c>
      <x:c r="AG128" s="114" t="n">
        <x:f>AG108*'Scenarios'!$D$49</x:f>
        <x:v>1458.233091994472</x:v>
      </x:c>
      <x:c r="AH128" s="114" t="n">
        <x:f>AH108*'Scenarios'!$D$49</x:f>
        <x:v>1513.296119052055</x:v>
      </x:c>
      <x:c r="AI128" s="114" t="n">
        <x:f>AI108*'Scenarios'!$D$49</x:f>
        <x:v>1567.5332007037741</x:v>
      </x:c>
      <x:c r="AJ128" s="114" t="n">
        <x:f>AJ108*'Scenarios'!$D$49</x:f>
        <x:v>1620.9567261307177</x:v>
      </x:c>
      <x:c r="AK128" s="114" t="n">
        <x:f>AK108*'Scenarios'!$D$49</x:f>
        <x:v>1673.5788986762568</x:v>
      </x:c>
      <x:c r="AL128" s="114" t="n">
        <x:f>AL108*'Scenarios'!$D$49</x:f>
        <x:v>1725.4117386336134</x:v>
      </x:c>
    </x:row>
    <x:row r="129">
      <x:c r="A129" s="84" t="str">
        <x:v>Cash cost of service</x:v>
      </x:c>
      <x:c r="B129" s="84" t="str">
        <x:v>$</x:v>
      </x:c>
      <x:c r="C129" s="114" t="n">
        <x:f>SUM(C125,C127,C128)</x:f>
        <x:v>34.9609375</x:v>
      </x:c>
      <x:c r="D129" s="114" t="n">
        <x:f>SUM(D125,D127,D128)</x:f>
        <x:v>79.046875</x:v>
      </x:c>
      <x:c r="E129" s="114" t="n">
        <x:f>SUM(E125,E127,E128)</x:f>
        <x:v>117.24501953125001</x:v>
      </x:c>
      <x:c r="F129" s="114" t="n">
        <x:f>SUM(F125,F127,F128)</x:f>
        <x:v>174.79206689453127</x:v>
      </x:c>
      <x:c r="G129" s="114" t="n">
        <x:f>SUM(G125,G127,G128)</x:f>
        <x:v>257.2747366723633</x:v>
      </x:c>
      <x:c r="H129" s="114" t="n">
        <x:f>SUM(H125,H127,H128)</x:f>
        <x:v>333.1352835910278</x:v>
      </x:c>
      <x:c r="I129" s="114" t="n">
        <x:f>SUM(I125,I127,I128)</x:f>
        <x:v>407.85792230591244</x:v>
      </x:c>
      <x:c r="J129" s="114" t="n">
        <x:f>SUM(J125,J127,J128)</x:f>
        <x:v>481.45972144007374</x:v>
      </x:c>
      <x:c r="K129" s="114" t="n">
        <x:f>SUM(K125,K127,K128)</x:f>
        <x:v>553.9574935872226</x:v>
      </x:c>
      <x:c r="L129" s="114" t="n">
        <x:f>SUM(L125,L127,L128)</x:f>
        <x:v>625.3677991521645</x:v>
      </x:c>
      <x:c r="M129" s="114" t="n">
        <x:f>SUM(M125,M127,M128)</x:f>
        <x:v>695.7069501336318</x:v>
      </x:c>
      <x:c r="N129" s="114" t="n">
        <x:f>SUM(N125,N127,N128)</x:f>
        <x:v>987.0621687132879</x:v>
      </x:c>
      <x:c r="O129" s="114" t="n">
        <x:f>SUM(O125,O127,O128)</x:f>
        <x:v>1814.768091651338</x:v>
      </x:c>
      <x:c r="P129" s="114" t="n">
        <x:f>SUM(P125,P127,P128)</x:f>
        <x:v>3320.0484648078186</x:v>
      </x:c>
      <x:c r="Q129" s="114" t="n">
        <x:f>SUM(Q125,Q127,Q128)</x:f>
        <x:v>3335.8558749791696</x:v>
      </x:c>
      <x:c r="R129" s="114" t="n">
        <x:f>SUM(R125,R127,R128)</x:f>
        <x:v>3908.424677479483</x:v>
      </x:c>
      <x:c r="S129" s="114" t="n">
        <x:f>SUM(S125,S127,S128)</x:f>
        <x:v>4472.404947942291</x:v>
      </x:c>
      <x:c r="T129" s="114" t="n">
        <x:f>SUM(T125,T127,T128)</x:f>
        <x:v>5027.925514348155</x:v>
      </x:c>
      <x:c r="U129" s="114" t="n">
        <x:f>SUM(U125,U127,U128)</x:f>
        <x:v>5779.761709757933</x:v>
      </x:c>
      <x:c r="V129" s="114" t="n">
        <x:f>SUM(V125,V127,V128)</x:f>
        <x:v>6922.140088799065</x:v>
      </x:c>
      <x:c r="W129" s="114" t="n">
        <x:f>SUM(W125,W127,W128)</x:f>
        <x:v>7614.142069498328</x:v>
      </x:c>
      <x:c r="X129" s="114" t="n">
        <x:f>SUM(X125,X127,X128)</x:f>
        <x:v>8295.764020487104</x:v>
      </x:c>
      <x:c r="Y129" s="114" t="n">
        <x:f>SUM(Y125,Y127,Y128)</x:f>
        <x:v>8967.161642211044</x:v>
      </x:c>
      <x:c r="Z129" s="114" t="n">
        <x:f>SUM(Z125,Z127,Z128)</x:f>
        <x:v>9628.488299609133</x:v>
      </x:c>
      <x:c r="AA129" s="114" t="n">
        <x:f>SUM(AA125,AA127,AA128)</x:f>
        <x:v>10690.25242649391</x:v>
      </x:c>
      <x:c r="AB129" s="114" t="n">
        <x:f>SUM(AB125,AB127,AB128)</x:f>
        <x:v>12281.513386190249</x:v>
      </x:c>
      <x:c r="AC129" s="114" t="n">
        <x:f>SUM(AC125,AC127,AC128)</x:f>
        <x:v>13280.102208834895</x:v>
      </x:c>
      <x:c r="AD129" s="114" t="n">
        <x:f>SUM(AD125,AD127,AD128)</x:f>
        <x:v>14263.71219913987</x:v>
      </x:c>
      <x:c r="AE129" s="114" t="n">
        <x:f>SUM(AE125,AE127,AE128)</x:f>
        <x:v>15232.568039590275</x:v>
      </x:c>
      <x:c r="AF129" s="114" t="n">
        <x:f>SUM(AF125,AF127,AF128)</x:f>
        <x:v>16186.891042433923</x:v>
      </x:c>
      <x:c r="AG129" s="114" t="n">
        <x:f>SUM(AG125,AG127,AG128)</x:f>
        <x:v>17126.89920023491</x:v>
      </x:c>
      <x:c r="AH129" s="114" t="n">
        <x:f>SUM(AH125,AH127,AH128)</x:f>
        <x:v>18052.807235668894</x:v>
      </x:c>
      <x:c r="AI129" s="114" t="n">
        <x:f>SUM(AI125,AI127,AI128)</x:f>
        <x:v>18964.826650571362</x:v>
      </x:c>
      <x:c r="AJ129" s="114" t="n">
        <x:f>SUM(AJ125,AJ127,AJ128)</x:f>
        <x:v>19863.16577425029</x:v>
      </x:c>
      <x:c r="AK129" s="114" t="n">
        <x:f>SUM(AK125,AK127,AK128)</x:f>
        <x:v>20748.02981107404</x:v>
      </x:c>
      <x:c r="AL129" s="114" t="n">
        <x:f>SUM(AL125,AL127,AL128)</x:f>
        <x:v>21619.620887345427</x:v>
      </x:c>
    </x:row>
    <x:row r="130">
      <x:c r="A130" s="84" t="str">
        <x:v>Normalized cost of service</x:v>
      </x:c>
      <x:c r="B130" s="84" t="str">
        <x:v>$</x:v>
      </x:c>
      <x:c r="C130" s="114" t="n">
        <x:f>C129+C126</x:f>
        <x:v>677.4609375000001</x:v>
      </x:c>
      <x:c r="D130" s="114" t="n">
        <x:f>D129+D126</x:f>
        <x:v>1711.546875</x:v>
      </x:c>
      <x:c r="E130" s="114" t="n">
        <x:f>E129+E126</x:f>
        <x:v>1979.30126953125</x:v>
      </x:c>
      <x:c r="F130" s="114" t="n">
        <x:f>F129+F126</x:f>
        <x:v>2602.9612231445312</x:v>
      </x:c>
      <x:c r="G130" s="114" t="n">
        <x:f>G129+G126</x:f>
        <x:v>3928.1651055786133</x:v>
      </x:c>
      <x:c r="H130" s="114" t="n">
        <x:f>H129+H126</x:f>
        <x:v>4459.918546963684</x:v>
      </x:c>
      <x:c r="I130" s="114" t="n">
        <x:f>I129+I126</x:f>
        <x:v>4983.695686727979</x:v>
      </x:c>
      <x:c r="J130" s="114" t="n">
        <x:f>J129+J126</x:f>
        <x:v>5499.616169395809</x:v>
      </x:c>
      <x:c r="K130" s="114" t="n">
        <x:f>K129+K126</x:f>
        <x:v>6007.797844823622</x:v>
      </x:c>
      <x:c r="L130" s="114" t="n">
        <x:f>L129+L126</x:f>
        <x:v>6508.3567951200175</x:v>
      </x:c>
      <x:c r="M130" s="114" t="n">
        <x:f>M129+M126</x:f>
        <x:v>7001.407361161969</x:v>
      </x:c>
      <x:c r="N130" s="114" t="n">
        <x:f>N129+N126</x:f>
        <x:v>7487.062168713288</x:v>
      </x:c>
      <x:c r="O130" s="114" t="n">
        <x:f>O129+O126</x:f>
        <x:v>8314.768091651338</x:v>
      </x:c>
      <x:c r="P130" s="114" t="n">
        <x:f>P129+P126</x:f>
        <x:v>9820.048464807818</x:v>
      </x:c>
      <x:c r="Q130" s="114" t="n">
        <x:f>Q129+Q126</x:f>
        <x:v>9835.85587497917</x:v>
      </x:c>
      <x:c r="R130" s="114" t="n">
        <x:f>R129+R126</x:f>
        <x:v>10408.424677479483</x:v>
      </x:c>
      <x:c r="S130" s="114" t="n">
        <x:f>S129+S126</x:f>
        <x:v>10972.40494794229</x:v>
      </x:c>
      <x:c r="T130" s="114" t="n">
        <x:f>T129+T126</x:f>
        <x:v>11527.925514348155</x:v>
      </x:c>
      <x:c r="U130" s="114" t="n">
        <x:f>U129+U126</x:f>
        <x:v>12279.761709757933</x:v>
      </x:c>
      <x:c r="V130" s="114" t="n">
        <x:f>V129+V126</x:f>
        <x:v>13422.140088799064</x:v>
      </x:c>
      <x:c r="W130" s="114" t="n">
        <x:f>W129+W126</x:f>
        <x:v>14114.142069498328</x:v>
      </x:c>
      <x:c r="X130" s="114" t="n">
        <x:f>X129+X126</x:f>
        <x:v>14795.764020487104</x:v>
      </x:c>
      <x:c r="Y130" s="114" t="n">
        <x:f>Y129+Y126</x:f>
        <x:v>15467.161642211044</x:v>
      </x:c>
      <x:c r="Z130" s="114" t="n">
        <x:f>Z129+Z126</x:f>
        <x:v>16128.488299609133</x:v>
      </x:c>
      <x:c r="AA130" s="114" t="n">
        <x:f>AA129+AA126</x:f>
        <x:v>17190.25242649391</x:v>
      </x:c>
      <x:c r="AB130" s="114" t="n">
        <x:f>AB129+AB126</x:f>
        <x:v>18781.51338619025</x:v>
      </x:c>
      <x:c r="AC130" s="114" t="n">
        <x:f>AC129+AC126</x:f>
        <x:v>19780.102208834895</x:v>
      </x:c>
      <x:c r="AD130" s="114" t="n">
        <x:f>AD129+AD126</x:f>
        <x:v>20763.71219913987</x:v>
      </x:c>
      <x:c r="AE130" s="114" t="n">
        <x:f>AE129+AE126</x:f>
        <x:v>21732.568039590275</x:v>
      </x:c>
      <x:c r="AF130" s="114" t="n">
        <x:f>AF129+AF126</x:f>
        <x:v>22686.891042433923</x:v>
      </x:c>
      <x:c r="AG130" s="114" t="n">
        <x:f>AG129+AG126</x:f>
        <x:v>23626.89920023491</x:v>
      </x:c>
      <x:c r="AH130" s="114" t="n">
        <x:f>AH129+AH126</x:f>
        <x:v>24552.807235668894</x:v>
      </x:c>
      <x:c r="AI130" s="114" t="n">
        <x:f>AI129+AI126</x:f>
        <x:v>25464.826650571362</x:v>
      </x:c>
      <x:c r="AJ130" s="114" t="n">
        <x:f>AJ129+AJ126</x:f>
        <x:v>26363.16577425029</x:v>
      </x:c>
      <x:c r="AK130" s="114" t="n">
        <x:f>AK129+AK126</x:f>
        <x:v>27248.02981107404</x:v>
      </x:c>
      <x:c r="AL130" s="114" t="n">
        <x:f>AL129+AL126</x:f>
        <x:v>28119.620887345427</x:v>
      </x:c>
    </x:row>
    <x:row r="131">
      <x:c r="A131" s="84" t="str">
        <x:v>Cash gross profit</x:v>
      </x:c>
      <x:c r="B131" s="84" t="str">
        <x:v>$</x:v>
      </x:c>
      <x:c r="C131" s="114" t="n">
        <x:f>C108-C129</x:f>
        <x:v>1363.4765625</x:v>
      </x:c>
      <x:c r="D131" s="114" t="n">
        <x:f>D108-D129</x:f>
        <x:v>3082.828125</x:v>
      </x:c>
      <x:c r="E131" s="114" t="n">
        <x:f>E108-E129</x:f>
        <x:v>3681.55576171875</x:v>
      </x:c>
      <x:c r="F131" s="114" t="n">
        <x:f>F108-F129</x:f>
        <x:v>5048.255608886719</x:v>
      </x:c>
      <x:c r="G131" s="114" t="n">
        <x:f>G108-G129</x:f>
        <x:v>7400.609255222169</x:v>
      </x:c>
      <x:c r="H131" s="114" t="n">
        <x:f>H108-H129</x:f>
        <x:v>8589.667167175085</x:v>
      </x:c>
      <x:c r="I131" s="114" t="n">
        <x:f>I108-I129</x:f>
        <x:v>9760.889210448708</x:v>
      </x:c>
      <x:c r="J131" s="114" t="n">
        <x:f>J108-J129</x:f>
        <x:v>10914.54292307323</x:v>
      </x:c>
      <x:c r="K131" s="114" t="n">
        <x:f>K108-K129</x:f>
        <x:v>12050.891830008379</x:v>
      </x:c>
      <x:c r="L131" s="114" t="n">
        <x:f>L108-L129</x:f>
        <x:v>13170.195503339506</x:v>
      </x:c>
      <x:c r="M131" s="114" t="n">
        <x:f>M108-M129</x:f>
        <x:v>14272.709621570662</x:v>
      </x:c>
      <x:c r="N131" s="114" t="n">
        <x:f>N108-N129</x:f>
        <x:v>15136.61487316544</x:v>
      </x:c>
      <x:c r="O131" s="114" t="n">
        <x:f>O108-O129</x:f>
        <x:v>16220.278013349209</x:v>
      </x:c>
      <x:c r="P131" s="114" t="n">
        <x:f>P108-P129</x:f>
        <x:v>17599.29772986772</x:v>
      </x:c>
      <x:c r="Q131" s="114" t="n">
        <x:f>Q108-Q129</x:f>
        <x:v>19324.465751776235</x:v>
      </x:c>
      <x:c r="R131" s="114" t="n">
        <x:f>R108-R129</x:f>
        <x:v>20466.75774987459</x:v>
      </x:c>
      <x:c r="S131" s="114" t="n">
        <x:f>S108-S129</x:f>
        <x:v>21591.91536800147</x:v>
      </x:c>
      <x:c r="T131" s="114" t="n">
        <x:f>T108-T129</x:f>
        <x:v>22700.195621856452</x:v>
      </x:c>
      <x:c r="U131" s="114" t="n">
        <x:f>U108-U129</x:f>
        <x:v>24173.140734403605</x:v>
      </x:c>
      <x:c r="V131" s="114" t="n">
        <x:f>V108-V129</x:f>
        <x:v>25980.961006200054</x:v>
      </x:c>
      <x:c r="W131" s="114" t="n">
        <x:f>W108-W129</x:f>
        <x:v>27361.5257903258</x:v>
      </x:c>
      <x:c r="X131" s="114" t="n">
        <x:f>X108-X129</x:f>
        <x:v>28721.382102689655</x:v>
      </x:c>
      <x:c r="Y131" s="114" t="n">
        <x:f>Y108-Y129</x:f>
        <x:v>30060.84057036807</x:v>
      </x:c>
      <x:c r="Z131" s="114" t="n">
        <x:f>Z108-Z129</x:f>
        <x:v>31380.207161031292</x:v>
      </x:c>
      <x:c r="AA131" s="114" t="n">
        <x:f>AA108-AA129</x:f>
        <x:v>32855.36338348691</x:v>
      </x:c>
      <x:c r="AB131" s="114" t="n">
        <x:f>AB108-AB129</x:f>
        <x:v>34521.75803039085</x:v>
      </x:c>
      <x:c r="AC131" s="114" t="n">
        <x:f>AC108-AC129</x:f>
        <x:v>35898.581073997484</x:v>
      </x:c>
      <x:c r="AD131" s="114" t="n">
        <x:f>AD108-AD129</x:f>
        <x:v>37254.75177195003</x:v>
      </x:c>
      <x:c r="AE131" s="114" t="n">
        <x:f>AE108-AE129</x:f>
        <x:v>38590.57990943328</x:v>
      </x:c>
      <x:c r="AF131" s="114" t="n">
        <x:f>AF108-AF129</x:f>
        <x:v>39906.37062485429</x:v>
      </x:c>
      <x:c r="AG131" s="114" t="n">
        <x:f>AG108-AG129</x:f>
        <x:v>41202.424479543966</x:v>
      </x:c>
      <x:c r="AH131" s="114" t="n">
        <x:f>AH108-AH129</x:f>
        <x:v>42479.0375264133</x:v>
      </x:c>
      <x:c r="AI131" s="114" t="n">
        <x:f>AI108-AI129</x:f>
        <x:v>43736.5013775796</x:v>
      </x:c>
      <x:c r="AJ131" s="114" t="n">
        <x:f>AJ108-AJ129</x:f>
        <x:v>44975.10327097842</x:v>
      </x:c>
      <x:c r="AK131" s="114" t="n">
        <x:f>AK108-AK129</x:f>
        <x:v>46195.12613597623</x:v>
      </x:c>
      <x:c r="AL131" s="114" t="n">
        <x:f>AL108-AL129</x:f>
        <x:v>47396.8486579991</x:v>
      </x:c>
    </x:row>
    <x:row r="132">
      <x:c r="A132" s="84" t="str">
        <x:v>Cash gross margin</x:v>
      </x:c>
      <x:c r="B132" s="84" t="str">
        <x:v>%</x:v>
      </x:c>
      <x:c r="C132" s="116" t="n">
        <x:f>IF(C108=0,0,C131/C108)</x:f>
        <x:v>0.975</x:v>
      </x:c>
      <x:c r="D132" s="116" t="n">
        <x:f>IF(D108=0,0,D131/D108)</x:f>
        <x:v>0.975</x:v>
      </x:c>
      <x:c r="E132" s="116" t="n">
        <x:f>IF(E108=0,0,E131/E108)</x:f>
        <x:v>0.9691363074078683</x:v>
      </x:c>
      <x:c r="F132" s="116" t="n">
        <x:f>IF(F108=0,0,F131/F108)</x:f>
        <x:v>0.9665344684282655</x:v>
      </x:c>
      <x:c r="G132" s="116" t="n">
        <x:f>IF(G108=0,0,G131/G108)</x:f>
        <x:v>0.9664039391371461</x:v>
      </x:c>
      <x:c r="H132" s="116" t="n">
        <x:f>IF(H108=0,0,H131/H108)</x:f>
        <x:v>0.9626647249640247</x:v>
      </x:c>
      <x:c r="I132" s="116" t="n">
        <x:f>IF(I108=0,0,I131/I108)</x:f>
        <x:v>0.9598910350526704</x:v>
      </x:c>
      <x:c r="J132" s="116" t="n">
        <x:f>IF(J108=0,0,J131/J108)</x:f>
        <x:v>0.9577518769994429</x:v>
      </x:c>
      <x:c r="K132" s="116" t="n">
        <x:f>IF(K108=0,0,K131/K108)</x:f>
        <x:v>0.9560520336764166</x:v>
      </x:c>
      <x:c r="L132" s="116" t="n">
        <x:f>IF(L108=0,0,L131/L108)</x:f>
        <x:v>0.9546689188806654</x:v>
      </x:c>
      <x:c r="M132" s="116" t="n">
        <x:f>IF(M108=0,0,M131/M108)</x:f>
        <x:v>0.9535216736652847</x:v>
      </x:c>
      <x:c r="N132" s="116" t="n">
        <x:f>IF(N108=0,0,N131/N108)</x:f>
        <x:v>0.9387818196711861</x:v>
      </x:c>
      <x:c r="O132" s="116" t="n">
        <x:f>IF(O108=0,0,O131/O108)</x:f>
        <x:v>0.8993754670165129</x:v>
      </x:c>
      <x:c r="P132" s="116" t="n">
        <x:f>IF(P108=0,0,P131/P108)</x:f>
        <x:v>0.8412929145150412</x:v>
      </x:c>
      <x:c r="Q132" s="116" t="n">
        <x:f>IF(Q108=0,0,Q131/Q108)</x:f>
        <x:v>0.8527886792639133</x:v>
      </x:c>
      <x:c r="R132" s="116" t="n">
        <x:f>IF(R108=0,0,R131/R108)</x:f>
        <x:v>0.8396555722555983</x:v>
      </x:c>
      <x:c r="S132" s="116" t="n">
        <x:f>IF(S108=0,0,S131/S108)</x:f>
        <x:v>0.828408917104718</x:v>
      </x:c>
      <x:c r="T132" s="116" t="n">
        <x:f>IF(T108=0,0,T131/T108)</x:f>
        <x:v>0.8186705298332244</x:v>
      </x:c>
      <x:c r="U132" s="116" t="n">
        <x:f>IF(U108=0,0,U131/U108)</x:f>
        <x:v>0.807038342259732</x:v>
      </x:c>
      <x:c r="V132" s="116" t="n">
        <x:f>IF(V108=0,0,V131/V108)</x:f>
        <x:v>0.7896204352041715</x:v>
      </x:c>
      <x:c r="W132" s="116" t="n">
        <x:f>IF(W108=0,0,W131/W108)</x:f>
        <x:v>0.7823017390257029</x:v>
      </x:c>
      <x:c r="X132" s="116" t="n">
        <x:f>IF(X108=0,0,X131/X108)</x:f>
        <x:v>0.7758940142796947</x:v>
      </x:c>
      <x:c r="Y132" s="116" t="n">
        <x:f>IF(Y108=0,0,Y131/Y108)</x:f>
        <x:v>0.7702377489534722</x:v>
      </x:c>
      <x:c r="Z132" s="116" t="n">
        <x:f>IF(Z108=0,0,Z131/Z108)</x:f>
        <x:v>0.7652086175516014</x:v>
      </x:c>
      <x:c r="AA132" s="116" t="n">
        <x:f>IF(AA108=0,0,AA131/AA108)</x:f>
        <x:v>0.7545045068798025</x:v>
      </x:c>
      <x:c r="AB132" s="116" t="n">
        <x:f>IF(AB108=0,0,AB131/AB108)</x:f>
        <x:v>0.7375928430968769</x:v>
      </x:c>
      <x:c r="AC132" s="116" t="n">
        <x:f>IF(AC108=0,0,AC131/AC108)</x:f>
        <x:v>0.7299622250465823</x:v>
      </x:c>
      <x:c r="AD132" s="116" t="n">
        <x:f>IF(AD108=0,0,AD131/AD108)</x:f>
        <x:v>0.7231339776134611</x:v>
      </x:c>
      <x:c r="AE132" s="116" t="n">
        <x:f>IF(AE108=0,0,AE131/AE108)</x:f>
        <x:v>0.7169885333719761</x:v>
      </x:c>
      <x:c r="AF132" s="116" t="n">
        <x:f>IF(AF108=0,0,AF131/AF108)</x:f>
        <x:v>0.7114289566820894</x:v>
      </x:c>
      <x:c r="AG132" s="116" t="n">
        <x:f>IF(AG108=0,0,AG131/AG108)</x:f>
        <x:v>0.7063758308898013</x:v>
      </x:c>
      <x:c r="AH132" s="116" t="n">
        <x:f>IF(AH108=0,0,AH131/AH108)</x:f>
        <x:v>0.701763471663144</x:v>
      </x:c>
      <x:c r="AI132" s="116" t="n">
        <x:f>IF(AI108=0,0,AI131/AI108)</x:f>
        <x:v>0.6975370817974264</x:v>
      </x:c>
      <x:c r="AJ132" s="116" t="n">
        <x:f>IF(AJ108=0,0,AJ131/AJ108)</x:f>
        <x:v>0.6936505852678686</x:v>
      </x:c>
      <x:c r="AK132" s="116" t="n">
        <x:f>IF(AK108=0,0,AK131/AK108)</x:f>
        <x:v>0.6900649585823976</x:v>
      </x:c>
      <x:c r="AL132" s="116" t="n">
        <x:f>IF(AL108=0,0,AL131/AL108)</x:f>
        <x:v>0.686746931134443</x:v>
      </x:c>
    </x:row>
    <x:row r="133">
      <x:c r="A133" s="84" t="str">
        <x:v>Normalized gross profit</x:v>
      </x:c>
      <x:c r="B133" s="84" t="str">
        <x:v>$</x:v>
      </x:c>
      <x:c r="C133" s="114" t="n">
        <x:f>C108-C130</x:f>
        <x:v>720.9765624999999</x:v>
      </x:c>
      <x:c r="D133" s="114" t="n">
        <x:f>D108-D130</x:f>
        <x:v>1450.328125</x:v>
      </x:c>
      <x:c r="E133" s="114" t="n">
        <x:f>E108-E130</x:f>
        <x:v>1819.49951171875</x:v>
      </x:c>
      <x:c r="F133" s="114" t="n">
        <x:f>F108-F130</x:f>
        <x:v>2620.086452636719</x:v>
      </x:c>
      <x:c r="G133" s="114" t="n">
        <x:f>G108-G130</x:f>
        <x:v>3729.718886315919</x:v>
      </x:c>
      <x:c r="H133" s="114" t="n">
        <x:f>H108-H130</x:f>
        <x:v>4462.883903802428</x:v>
      </x:c>
      <x:c r="I133" s="114" t="n">
        <x:f>I108-I130</x:f>
        <x:v>5185.051446026642</x:v>
      </x:c>
      <x:c r="J133" s="114" t="n">
        <x:f>J108-J130</x:f>
        <x:v>5896.386475117493</x:v>
      </x:c>
      <x:c r="K133" s="114" t="n">
        <x:f>K108-K130</x:f>
        <x:v>6597.051478771979</x:v>
      </x:c>
      <x:c r="L133" s="114" t="n">
        <x:f>L108-L130</x:f>
        <x:v>7287.206507371654</x:v>
      </x:c>
      <x:c r="M133" s="114" t="n">
        <x:f>M108-M130</x:f>
        <x:v>7967.0092105423255</x:v>
      </x:c>
      <x:c r="N133" s="114" t="n">
        <x:f>N108-N130</x:f>
        <x:v>8636.61487316544</x:v>
      </x:c>
      <x:c r="O133" s="114" t="n">
        <x:f>O108-O130</x:f>
        <x:v>9720.278013349209</x:v>
      </x:c>
      <x:c r="P133" s="114" t="n">
        <x:f>P108-P130</x:f>
        <x:v>11099.297729867723</x:v>
      </x:c>
      <x:c r="Q133" s="114" t="n">
        <x:f>Q108-Q130</x:f>
        <x:v>12824.465751776235</x:v>
      </x:c>
      <x:c r="R133" s="114" t="n">
        <x:f>R108-R130</x:f>
        <x:v>13966.75774987459</x:v>
      </x:c>
      <x:c r="S133" s="114" t="n">
        <x:f>S108-S130</x:f>
        <x:v>15091.915368001472</x:v>
      </x:c>
      <x:c r="T133" s="114" t="n">
        <x:f>T108-T130</x:f>
        <x:v>16200.19562185645</x:v>
      </x:c>
      <x:c r="U133" s="114" t="n">
        <x:f>U108-U130</x:f>
        <x:v>17673.140734403605</x:v>
      </x:c>
      <x:c r="V133" s="114" t="n">
        <x:f>V108-V130</x:f>
        <x:v>19480.961006200054</x:v>
      </x:c>
      <x:c r="W133" s="114" t="n">
        <x:f>W108-W130</x:f>
        <x:v>20861.5257903258</x:v>
      </x:c>
      <x:c r="X133" s="114" t="n">
        <x:f>X108-X130</x:f>
        <x:v>22221.382102689655</x:v>
      </x:c>
      <x:c r="Y133" s="114" t="n">
        <x:f>Y108-Y130</x:f>
        <x:v>23560.84057036807</x:v>
      </x:c>
      <x:c r="Z133" s="114" t="n">
        <x:f>Z108-Z130</x:f>
        <x:v>24880.207161031292</x:v>
      </x:c>
      <x:c r="AA133" s="114" t="n">
        <x:f>AA108-AA130</x:f>
        <x:v>26355.363383486907</x:v>
      </x:c>
      <x:c r="AB133" s="114" t="n">
        <x:f>AB108-AB130</x:f>
        <x:v>28021.758030390847</x:v>
      </x:c>
      <x:c r="AC133" s="114" t="n">
        <x:f>AC108-AC130</x:f>
        <x:v>29398.581073997488</x:v>
      </x:c>
      <x:c r="AD133" s="114" t="n">
        <x:f>AD108-AD130</x:f>
        <x:v>30754.751771950036</x:v>
      </x:c>
      <x:c r="AE133" s="114" t="n">
        <x:f>AE108-AE130</x:f>
        <x:v>32090.579909433283</x:v>
      </x:c>
      <x:c r="AF133" s="114" t="n">
        <x:f>AF108-AF130</x:f>
        <x:v>33406.37062485429</x:v>
      </x:c>
      <x:c r="AG133" s="114" t="n">
        <x:f>AG108-AG130</x:f>
        <x:v>34702.424479543966</x:v>
      </x:c>
      <x:c r="AH133" s="114" t="n">
        <x:f>AH108-AH130</x:f>
        <x:v>35979.0375264133</x:v>
      </x:c>
      <x:c r="AI133" s="114" t="n">
        <x:f>AI108-AI130</x:f>
        <x:v>37236.5013775796</x:v>
      </x:c>
      <x:c r="AJ133" s="114" t="n">
        <x:f>AJ108-AJ130</x:f>
        <x:v>38475.10327097842</x:v>
      </x:c>
      <x:c r="AK133" s="114" t="n">
        <x:f>AK108-AK130</x:f>
        <x:v>39695.12613597623</x:v>
      </x:c>
      <x:c r="AL133" s="114" t="n">
        <x:f>AL108-AL130</x:f>
        <x:v>40896.8486579991</x:v>
      </x:c>
    </x:row>
    <x:row r="134">
      <x:c r="A134" s="84" t="str">
        <x:v>Normalized gross margin</x:v>
      </x:c>
      <x:c r="B134" s="84" t="str">
        <x:v>%</x:v>
      </x:c>
      <x:c r="C134" s="117" t="n">
        <x:f>IF(C108=0,0,C133/C108)</x:f>
        <x:v>0.515558659217877</x:v>
      </x:c>
      <x:c r="D134" s="117" t="n">
        <x:f>IF(D108=0,0,D133/D108)</x:f>
        <x:v>0.45869242933386045</x:v>
      </x:c>
      <x:c r="E134" s="117" t="n">
        <x:f>IF(E108=0,0,E133/E108)</x:f>
        <x:v>0.4789668151853021</x:v>
      </x:c>
      <x:c r="F134" s="117" t="n">
        <x:f>IF(F108=0,0,F133/F108)</x:f>
        <x:v>0.5016393905010283</x:v>
      </x:c>
      <x:c r="G134" s="117" t="n">
        <x:f>IF(G108=0,0,G133/G108)</x:f>
        <x:v>0.4870430121772059</x:v>
      </x:c>
      <x:c r="H134" s="117" t="n">
        <x:f>IF(H108=0,0,H133/H108)</x:f>
        <x:v>0.5001661673479327</x:v>
      </x:c>
      <x:c r="I134" s="117" t="n">
        <x:f>IF(I108=0,0,I133/I108)</x:f>
        <x:v>0.5099007162175405</x:v>
      </x:c>
      <x:c r="J134" s="117" t="n">
        <x:f>IF(J108=0,0,J133/J108)</x:f>
        <x:v>0.5174083105321458</x:v>
      </x:c>
      <x:c r="K134" s="117" t="n">
        <x:f>IF(K108=0,0,K133/K108)</x:f>
        <x:v>0.5233740847994631</x:v>
      </x:c>
      <x:c r="L134" s="117" t="n">
        <x:f>IF(L108=0,0,L133/L108)</x:f>
        <x:v>0.5282282678559043</x:v>
      </x:c>
      <x:c r="M134" s="117" t="n">
        <x:f>IF(M108=0,0,M133/M108)</x:f>
        <x:v>0.532254642458498</x:v>
      </x:c>
      <x:c r="N134" s="117" t="n">
        <x:f>IF(N108=0,0,N133/N108)</x:f>
        <x:v>0.5356479697982777</x:v>
      </x:c>
      <x:c r="O134" s="117" t="n">
        <x:f>IF(O108=0,0,O133/O108)</x:f>
        <x:v>0.5389660750938743</x:v>
      </x:c>
      <x:c r="P134" s="117" t="n">
        <x:f>IF(P108=0,0,P133/P108)</x:f>
        <x:v>0.5305757468028687</x:v>
      </x:c>
      <x:c r="Q134" s="117" t="n">
        <x:f>IF(Q108=0,0,Q133/Q108)</x:f>
        <x:v>0.5659436773674996</x:v>
      </x:c>
      <x:c r="R134" s="117" t="n">
        <x:f>IF(R108=0,0,R133/R108)</x:f>
        <x:v>0.5729909013604327</x:v>
      </x:c>
      <x:c r="S134" s="117" t="n">
        <x:f>IF(S108=0,0,S133/S108)</x:f>
        <x:v>0.5790258554630185</x:v>
      </x:c>
      <x:c r="T134" s="117" t="n">
        <x:f>IF(T108=0,0,T133/T108)</x:f>
        <x:v>0.5842514731625237</x:v>
      </x:c>
      <x:c r="U134" s="117" t="n">
        <x:f>IF(U108=0,0,U133/U108)</x:f>
        <x:v>0.5900309917327721</x:v>
      </x:c>
      <x:c r="V134" s="117" t="n">
        <x:f>IF(V108=0,0,V133/V108)</x:f>
        <x:v>0.5920706668333134</x:v>
      </x:c>
      <x:c r="W134" s="117" t="n">
        <x:f>IF(W108=0,0,W133/W108)</x:f>
        <x:v>0.5964582541764422</x:v>
      </x:c>
      <x:c r="X134" s="117" t="n">
        <x:f>IF(X108=0,0,X133/X108)</x:f>
        <x:v>0.6002997105381026</x:v>
      </x:c>
      <x:c r="Y134" s="117" t="n">
        <x:f>IF(Y108=0,0,Y133/Y108)</x:f>
        <x:v>0.6036906640016069</x:v>
      </x:c>
      <x:c r="Z134" s="117" t="n">
        <x:f>IF(Z108=0,0,Z133/Z108)</x:f>
        <x:v>0.6067056481938317</x:v>
      </x:c>
      <x:c r="AA134" s="117" t="n">
        <x:f>IF(AA108=0,0,AA133/AA108)</x:f>
        <x:v>0.6052357486111417</x:v>
      </x:c>
      <x:c r="AB134" s="117" t="n">
        <x:f>IF(AB108=0,0,AB133/AB108)</x:f>
        <x:v>0.5987136621493411</x:v>
      </x:c>
      <x:c r="AC134" s="117" t="n">
        <x:f>IF(AC108=0,0,AC133/AC108)</x:f>
        <x:v>0.5977911385899211</x:v>
      </x:c>
      <x:c r="AD134" s="117" t="n">
        <x:f>IF(AD108=0,0,AD133/AD108)</x:f>
        <x:v>0.5969656197282661</x:v>
      </x:c>
      <x:c r="AE134" s="117" t="n">
        <x:f>IF(AE108=0,0,AE133/AE108)</x:f>
        <x:v>0.5962226501472302</x:v>
      </x:c>
      <x:c r="AF134" s="117" t="n">
        <x:f>IF(AF108=0,0,AF133/AF108)</x:f>
        <x:v>0.595550510558665</x:v>
      </x:c>
      <x:c r="AG134" s="117" t="n">
        <x:f>IF(AG108=0,0,AG133/AG108)</x:f>
        <x:v>0.5949395996781344</x:v>
      </x:c>
      <x:c r="AH134" s="117" t="n">
        <x:f>IF(AH108=0,0,AH133/AH108)</x:f>
        <x:v>0.594381976426249</x:v>
      </x:c>
      <x:c r="AI134" s="117" t="n">
        <x:f>IF(AI108=0,0,AI133/AI108)</x:f>
        <x:v>0.5938710159513936</x:v>
      </x:c>
      <x:c r="AJ134" s="117" t="n">
        <x:f>IF(AJ108=0,0,AJ133/AJ108)</x:f>
        <x:v>0.5934011477718453</x:v>
      </x:c>
      <x:c r="AK134" s="117" t="n">
        <x:f>IF(AK108=0,0,AK133/AK108)</x:f>
        <x:v>0.592967654040298</x:v>
      </x:c>
      <x:c r="AL134" s="117" t="n">
        <x:f>IF(AL108=0,0,AL133/AL108)</x:f>
        <x:v>0.5925665124196109</x:v>
      </x:c>
    </x:row>
    <x:row r="135">
      <x:c r="A135" s="63" t="str">
        <x:v>OPERATING EXPENSE</x:v>
      </x:c>
      <x:c r="B135" s="63" t="str"/>
      <x:c r="C135" s="112"/>
      <x:c r="D135" s="112"/>
      <x:c r="E135" s="112"/>
      <x:c r="F135" s="112"/>
      <x:c r="G135" s="112"/>
      <x:c r="H135" s="112"/>
      <x:c r="I135" s="112"/>
      <x:c r="J135" s="112"/>
      <x:c r="K135" s="112"/>
      <x:c r="L135" s="112"/>
      <x:c r="M135" s="112"/>
      <x:c r="N135" s="112"/>
      <x:c r="O135" s="112"/>
      <x:c r="P135" s="112"/>
      <x:c r="Q135" s="112"/>
      <x:c r="R135" s="112"/>
      <x:c r="S135" s="112"/>
      <x:c r="T135" s="112"/>
      <x:c r="U135" s="112"/>
      <x:c r="V135" s="112"/>
      <x:c r="W135" s="112"/>
      <x:c r="X135" s="112"/>
      <x:c r="Y135" s="112"/>
      <x:c r="Z135" s="112"/>
      <x:c r="AA135" s="112"/>
      <x:c r="AB135" s="112"/>
      <x:c r="AC135" s="112"/>
      <x:c r="AD135" s="112"/>
      <x:c r="AE135" s="112"/>
      <x:c r="AF135" s="112"/>
      <x:c r="AG135" s="112"/>
      <x:c r="AH135" s="112"/>
      <x:c r="AI135" s="112"/>
      <x:c r="AJ135" s="112"/>
      <x:c r="AK135" s="112"/>
      <x:c r="AL135" s="112"/>
    </x:row>
    <x:row r="136">
      <x:c r="A136" s="84" t="str">
        <x:v>Founder cash compensation</x:v>
      </x:c>
      <x:c r="B136" s="84" t="str">
        <x:v>$</x:v>
      </x:c>
      <x:c r="C136" s="114" t="n">
        <x:f>IF(C86&gt;='Scenarios'!$D$35,'Scenarios'!$D$34,0)</x:f>
        <x:v>0</x:v>
      </x:c>
      <x:c r="D136" s="114" t="n">
        <x:f>IF(D86&gt;='Scenarios'!$D$35,'Scenarios'!$D$34,0)</x:f>
        <x:v>0</x:v>
      </x:c>
      <x:c r="E136" s="114" t="n">
        <x:f>IF(E86&gt;='Scenarios'!$D$35,'Scenarios'!$D$34,0)</x:f>
        <x:v>0</x:v>
      </x:c>
      <x:c r="F136" s="114" t="n">
        <x:f>IF(F86&gt;='Scenarios'!$D$35,'Scenarios'!$D$34,0)</x:f>
        <x:v>0</x:v>
      </x:c>
      <x:c r="G136" s="114" t="n">
        <x:f>IF(G86&gt;='Scenarios'!$D$35,'Scenarios'!$D$34,0)</x:f>
        <x:v>0</x:v>
      </x:c>
      <x:c r="H136" s="114" t="n">
        <x:f>IF(H86&gt;='Scenarios'!$D$35,'Scenarios'!$D$34,0)</x:f>
        <x:v>0</x:v>
      </x:c>
      <x:c r="I136" s="114" t="n">
        <x:f>IF(I86&gt;='Scenarios'!$D$35,'Scenarios'!$D$34,0)</x:f>
        <x:v>0</x:v>
      </x:c>
      <x:c r="J136" s="114" t="n">
        <x:f>IF(J86&gt;='Scenarios'!$D$35,'Scenarios'!$D$34,0)</x:f>
        <x:v>0</x:v>
      </x:c>
      <x:c r="K136" s="114" t="n">
        <x:f>IF(K86&gt;='Scenarios'!$D$35,'Scenarios'!$D$34,0)</x:f>
        <x:v>0</x:v>
      </x:c>
      <x:c r="L136" s="114" t="n">
        <x:f>IF(L86&gt;='Scenarios'!$D$35,'Scenarios'!$D$34,0)</x:f>
        <x:v>0</x:v>
      </x:c>
      <x:c r="M136" s="114" t="n">
        <x:f>IF(M86&gt;='Scenarios'!$D$35,'Scenarios'!$D$34,0)</x:f>
        <x:v>0</x:v>
      </x:c>
      <x:c r="N136" s="114" t="n">
        <x:f>IF(N86&gt;='Scenarios'!$D$35,'Scenarios'!$D$34,0)</x:f>
        <x:v>0</x:v>
      </x:c>
      <x:c r="O136" s="114" t="n">
        <x:f>IF(O86&gt;='Scenarios'!$D$35,'Scenarios'!$D$34,0)</x:f>
        <x:v>3000</x:v>
      </x:c>
      <x:c r="P136" s="114" t="n">
        <x:f>IF(P86&gt;='Scenarios'!$D$35,'Scenarios'!$D$34,0)</x:f>
        <x:v>3000</x:v>
      </x:c>
      <x:c r="Q136" s="114" t="n">
        <x:f>IF(Q86&gt;='Scenarios'!$D$35,'Scenarios'!$D$34,0)</x:f>
        <x:v>3000</x:v>
      </x:c>
      <x:c r="R136" s="114" t="n">
        <x:f>IF(R86&gt;='Scenarios'!$D$35,'Scenarios'!$D$34,0)</x:f>
        <x:v>3000</x:v>
      </x:c>
      <x:c r="S136" s="114" t="n">
        <x:f>IF(S86&gt;='Scenarios'!$D$35,'Scenarios'!$D$34,0)</x:f>
        <x:v>3000</x:v>
      </x:c>
      <x:c r="T136" s="114" t="n">
        <x:f>IF(T86&gt;='Scenarios'!$D$35,'Scenarios'!$D$34,0)</x:f>
        <x:v>3000</x:v>
      </x:c>
      <x:c r="U136" s="114" t="n">
        <x:f>IF(U86&gt;='Scenarios'!$D$35,'Scenarios'!$D$34,0)</x:f>
        <x:v>3000</x:v>
      </x:c>
      <x:c r="V136" s="114" t="n">
        <x:f>IF(V86&gt;='Scenarios'!$D$35,'Scenarios'!$D$34,0)</x:f>
        <x:v>3000</x:v>
      </x:c>
      <x:c r="W136" s="114" t="n">
        <x:f>IF(W86&gt;='Scenarios'!$D$35,'Scenarios'!$D$34,0)</x:f>
        <x:v>3000</x:v>
      </x:c>
      <x:c r="X136" s="114" t="n">
        <x:f>IF(X86&gt;='Scenarios'!$D$35,'Scenarios'!$D$34,0)</x:f>
        <x:v>3000</x:v>
      </x:c>
      <x:c r="Y136" s="114" t="n">
        <x:f>IF(Y86&gt;='Scenarios'!$D$35,'Scenarios'!$D$34,0)</x:f>
        <x:v>3000</x:v>
      </x:c>
      <x:c r="Z136" s="114" t="n">
        <x:f>IF(Z86&gt;='Scenarios'!$D$35,'Scenarios'!$D$34,0)</x:f>
        <x:v>3000</x:v>
      </x:c>
      <x:c r="AA136" s="114" t="n">
        <x:f>IF(AA86&gt;='Scenarios'!$D$35,'Scenarios'!$D$34,0)</x:f>
        <x:v>3000</x:v>
      </x:c>
      <x:c r="AB136" s="114" t="n">
        <x:f>IF(AB86&gt;='Scenarios'!$D$35,'Scenarios'!$D$34,0)</x:f>
        <x:v>3000</x:v>
      </x:c>
      <x:c r="AC136" s="114" t="n">
        <x:f>IF(AC86&gt;='Scenarios'!$D$35,'Scenarios'!$D$34,0)</x:f>
        <x:v>3000</x:v>
      </x:c>
      <x:c r="AD136" s="114" t="n">
        <x:f>IF(AD86&gt;='Scenarios'!$D$35,'Scenarios'!$D$34,0)</x:f>
        <x:v>3000</x:v>
      </x:c>
      <x:c r="AE136" s="114" t="n">
        <x:f>IF(AE86&gt;='Scenarios'!$D$35,'Scenarios'!$D$34,0)</x:f>
        <x:v>3000</x:v>
      </x:c>
      <x:c r="AF136" s="114" t="n">
        <x:f>IF(AF86&gt;='Scenarios'!$D$35,'Scenarios'!$D$34,0)</x:f>
        <x:v>3000</x:v>
      </x:c>
      <x:c r="AG136" s="114" t="n">
        <x:f>IF(AG86&gt;='Scenarios'!$D$35,'Scenarios'!$D$34,0)</x:f>
        <x:v>3000</x:v>
      </x:c>
      <x:c r="AH136" s="114" t="n">
        <x:f>IF(AH86&gt;='Scenarios'!$D$35,'Scenarios'!$D$34,0)</x:f>
        <x:v>3000</x:v>
      </x:c>
      <x:c r="AI136" s="114" t="n">
        <x:f>IF(AI86&gt;='Scenarios'!$D$35,'Scenarios'!$D$34,0)</x:f>
        <x:v>3000</x:v>
      </x:c>
      <x:c r="AJ136" s="114" t="n">
        <x:f>IF(AJ86&gt;='Scenarios'!$D$35,'Scenarios'!$D$34,0)</x:f>
        <x:v>3000</x:v>
      </x:c>
      <x:c r="AK136" s="114" t="n">
        <x:f>IF(AK86&gt;='Scenarios'!$D$35,'Scenarios'!$D$34,0)</x:f>
        <x:v>3000</x:v>
      </x:c>
      <x:c r="AL136" s="114" t="n">
        <x:f>IF(AL86&gt;='Scenarios'!$D$35,'Scenarios'!$D$34,0)</x:f>
        <x:v>3000</x:v>
      </x:c>
    </x:row>
    <x:row r="137">
      <x:c r="A137" s="84" t="str">
        <x:v>Founder non-delivery economic cost</x:v>
      </x:c>
      <x:c r="B137" s="84" t="str">
        <x:v>$</x:v>
      </x:c>
      <x:c r="C137" s="114" t="n">
        <x:f>MAX('Scenarios'!$D$31*52/12-C119,0)*'Scenarios'!$D$33</x:f>
        <x:v>10190.833333333334</x:v>
      </x:c>
      <x:c r="D137" s="114" t="n">
        <x:f>MAX('Scenarios'!$D$31*52/12-D119,0)*'Scenarios'!$D$33</x:f>
        <x:v>9200.833333333334</x:v>
      </x:c>
      <x:c r="E137" s="114" t="n">
        <x:f>MAX('Scenarios'!$D$31*52/12-E119,0)*'Scenarios'!$D$33</x:f>
        <x:v>8971.277083333334</x:v>
      </x:c>
      <x:c r="F137" s="114" t="n">
        <x:f>MAX('Scenarios'!$D$31*52/12-F119,0)*'Scenarios'!$D$33</x:f>
        <x:v>8405.164177083334</x:v>
      </x:c>
      <x:c r="G137" s="114" t="n">
        <x:f>MAX('Scenarios'!$D$31*52/12-G119,0)*'Scenarios'!$D$33</x:f>
        <x:v>7162.442964427084</x:v>
      </x:c>
      <x:c r="H137" s="114" t="n">
        <x:f>MAX('Scenarios'!$D$31*52/12-H119,0)*'Scenarios'!$D$33</x:f>
        <x:v>6706.550069960677</x:v>
      </x:c>
      <x:c r="I137" s="114" t="n">
        <x:f>MAX('Scenarios'!$D$31*52/12-I119,0)*'Scenarios'!$D$33</x:f>
        <x:v>6257.495568911268</x:v>
      </x:c>
      <x:c r="J137" s="114" t="n">
        <x:f>MAX('Scenarios'!$D$31*52/12-J119,0)*'Scenarios'!$D$33</x:f>
        <x:v>5815.176885377598</x:v>
      </x:c>
      <x:c r="K137" s="114" t="n">
        <x:f>MAX('Scenarios'!$D$31*52/12-K119,0)*'Scenarios'!$D$33</x:f>
        <x:v>5379.492982096935</x:v>
      </x:c>
      <x:c r="L137" s="114" t="n">
        <x:f>MAX('Scenarios'!$D$31*52/12-L119,0)*'Scenarios'!$D$33</x:f>
        <x:v>4950.344337365481</x:v>
      </x:c>
      <x:c r="M137" s="114" t="n">
        <x:f>MAX('Scenarios'!$D$31*52/12-M119,0)*'Scenarios'!$D$33</x:f>
        <x:v>4527.632922304997</x:v>
      </x:c>
      <x:c r="N137" s="114" t="n">
        <x:f>MAX('Scenarios'!$D$31*52/12-N119,0)*'Scenarios'!$D$33</x:f>
        <x:v>4333.333333333334</x:v>
      </x:c>
      <x:c r="O137" s="114" t="n">
        <x:f>MAX('Scenarios'!$D$31*52/12-O119,0)*'Scenarios'!$D$33</x:f>
        <x:v>4333.333333333334</x:v>
      </x:c>
      <x:c r="P137" s="114" t="n">
        <x:f>MAX('Scenarios'!$D$31*52/12-P119,0)*'Scenarios'!$D$33</x:f>
        <x:v>4333.333333333334</x:v>
      </x:c>
      <x:c r="Q137" s="114" t="n">
        <x:f>MAX('Scenarios'!$D$31*52/12-Q119,0)*'Scenarios'!$D$33</x:f>
        <x:v>4333.333333333334</x:v>
      </x:c>
      <x:c r="R137" s="114" t="n">
        <x:f>MAX('Scenarios'!$D$31*52/12-R119,0)*'Scenarios'!$D$33</x:f>
        <x:v>4333.333333333334</x:v>
      </x:c>
      <x:c r="S137" s="114" t="n">
        <x:f>MAX('Scenarios'!$D$31*52/12-S119,0)*'Scenarios'!$D$33</x:f>
        <x:v>4333.333333333334</x:v>
      </x:c>
      <x:c r="T137" s="114" t="n">
        <x:f>MAX('Scenarios'!$D$31*52/12-T119,0)*'Scenarios'!$D$33</x:f>
        <x:v>4333.333333333334</x:v>
      </x:c>
      <x:c r="U137" s="114" t="n">
        <x:f>MAX('Scenarios'!$D$31*52/12-U119,0)*'Scenarios'!$D$33</x:f>
        <x:v>4333.333333333334</x:v>
      </x:c>
      <x:c r="V137" s="114" t="n">
        <x:f>MAX('Scenarios'!$D$31*52/12-V119,0)*'Scenarios'!$D$33</x:f>
        <x:v>4333.333333333334</x:v>
      </x:c>
      <x:c r="W137" s="114" t="n">
        <x:f>MAX('Scenarios'!$D$31*52/12-W119,0)*'Scenarios'!$D$33</x:f>
        <x:v>4333.333333333334</x:v>
      </x:c>
      <x:c r="X137" s="114" t="n">
        <x:f>MAX('Scenarios'!$D$31*52/12-X119,0)*'Scenarios'!$D$33</x:f>
        <x:v>4333.333333333334</x:v>
      </x:c>
      <x:c r="Y137" s="114" t="n">
        <x:f>MAX('Scenarios'!$D$31*52/12-Y119,0)*'Scenarios'!$D$33</x:f>
        <x:v>4333.333333333334</x:v>
      </x:c>
      <x:c r="Z137" s="114" t="n">
        <x:f>MAX('Scenarios'!$D$31*52/12-Z119,0)*'Scenarios'!$D$33</x:f>
        <x:v>4333.333333333334</x:v>
      </x:c>
      <x:c r="AA137" s="114" t="n">
        <x:f>MAX('Scenarios'!$D$31*52/12-AA119,0)*'Scenarios'!$D$33</x:f>
        <x:v>4333.333333333334</x:v>
      </x:c>
      <x:c r="AB137" s="114" t="n">
        <x:f>MAX('Scenarios'!$D$31*52/12-AB119,0)*'Scenarios'!$D$33</x:f>
        <x:v>4333.333333333334</x:v>
      </x:c>
      <x:c r="AC137" s="114" t="n">
        <x:f>MAX('Scenarios'!$D$31*52/12-AC119,0)*'Scenarios'!$D$33</x:f>
        <x:v>4333.333333333334</x:v>
      </x:c>
      <x:c r="AD137" s="114" t="n">
        <x:f>MAX('Scenarios'!$D$31*52/12-AD119,0)*'Scenarios'!$D$33</x:f>
        <x:v>4333.333333333334</x:v>
      </x:c>
      <x:c r="AE137" s="114" t="n">
        <x:f>MAX('Scenarios'!$D$31*52/12-AE119,0)*'Scenarios'!$D$33</x:f>
        <x:v>4333.333333333334</x:v>
      </x:c>
      <x:c r="AF137" s="114" t="n">
        <x:f>MAX('Scenarios'!$D$31*52/12-AF119,0)*'Scenarios'!$D$33</x:f>
        <x:v>4333.333333333334</x:v>
      </x:c>
      <x:c r="AG137" s="114" t="n">
        <x:f>MAX('Scenarios'!$D$31*52/12-AG119,0)*'Scenarios'!$D$33</x:f>
        <x:v>4333.333333333334</x:v>
      </x:c>
      <x:c r="AH137" s="114" t="n">
        <x:f>MAX('Scenarios'!$D$31*52/12-AH119,0)*'Scenarios'!$D$33</x:f>
        <x:v>4333.333333333334</x:v>
      </x:c>
      <x:c r="AI137" s="114" t="n">
        <x:f>MAX('Scenarios'!$D$31*52/12-AI119,0)*'Scenarios'!$D$33</x:f>
        <x:v>4333.333333333334</x:v>
      </x:c>
      <x:c r="AJ137" s="114" t="n">
        <x:f>MAX('Scenarios'!$D$31*52/12-AJ119,0)*'Scenarios'!$D$33</x:f>
        <x:v>4333.333333333334</x:v>
      </x:c>
      <x:c r="AK137" s="114" t="n">
        <x:f>MAX('Scenarios'!$D$31*52/12-AK119,0)*'Scenarios'!$D$33</x:f>
        <x:v>4333.333333333334</x:v>
      </x:c>
      <x:c r="AL137" s="114" t="n">
        <x:f>MAX('Scenarios'!$D$31*52/12-AL119,0)*'Scenarios'!$D$33</x:f>
        <x:v>4333.333333333334</x:v>
      </x:c>
    </x:row>
    <x:row r="138">
      <x:c r="A138" s="84" t="str">
        <x:v>Software and administration</x:v>
      </x:c>
      <x:c r="B138" s="84" t="str">
        <x:v>$</x:v>
      </x:c>
      <x:c r="C138" s="114" t="n">
        <x:f>'Scenarios'!$D$50</x:f>
        <x:v>1000</x:v>
      </x:c>
      <x:c r="D138" s="114" t="n">
        <x:f>'Scenarios'!$D$50</x:f>
        <x:v>1000</x:v>
      </x:c>
      <x:c r="E138" s="114" t="n">
        <x:f>'Scenarios'!$D$50</x:f>
        <x:v>1000</x:v>
      </x:c>
      <x:c r="F138" s="114" t="n">
        <x:f>'Scenarios'!$D$50</x:f>
        <x:v>1000</x:v>
      </x:c>
      <x:c r="G138" s="114" t="n">
        <x:f>'Scenarios'!$D$50</x:f>
        <x:v>1000</x:v>
      </x:c>
      <x:c r="H138" s="114" t="n">
        <x:f>'Scenarios'!$D$50</x:f>
        <x:v>1000</x:v>
      </x:c>
      <x:c r="I138" s="114" t="n">
        <x:f>'Scenarios'!$D$50</x:f>
        <x:v>1000</x:v>
      </x:c>
      <x:c r="J138" s="114" t="n">
        <x:f>'Scenarios'!$D$50</x:f>
        <x:v>1000</x:v>
      </x:c>
      <x:c r="K138" s="114" t="n">
        <x:f>'Scenarios'!$D$50</x:f>
        <x:v>1000</x:v>
      </x:c>
      <x:c r="L138" s="114" t="n">
        <x:f>'Scenarios'!$D$50</x:f>
        <x:v>1000</x:v>
      </x:c>
      <x:c r="M138" s="114" t="n">
        <x:f>'Scenarios'!$D$50</x:f>
        <x:v>1000</x:v>
      </x:c>
      <x:c r="N138" s="114" t="n">
        <x:f>'Scenarios'!$D$50</x:f>
        <x:v>1000</x:v>
      </x:c>
      <x:c r="O138" s="114" t="n">
        <x:f>'Scenarios'!$D$50</x:f>
        <x:v>1000</x:v>
      </x:c>
      <x:c r="P138" s="114" t="n">
        <x:f>'Scenarios'!$D$50</x:f>
        <x:v>1000</x:v>
      </x:c>
      <x:c r="Q138" s="114" t="n">
        <x:f>'Scenarios'!$D$50</x:f>
        <x:v>1000</x:v>
      </x:c>
      <x:c r="R138" s="114" t="n">
        <x:f>'Scenarios'!$D$50</x:f>
        <x:v>1000</x:v>
      </x:c>
      <x:c r="S138" s="114" t="n">
        <x:f>'Scenarios'!$D$50</x:f>
        <x:v>1000</x:v>
      </x:c>
      <x:c r="T138" s="114" t="n">
        <x:f>'Scenarios'!$D$50</x:f>
        <x:v>1000</x:v>
      </x:c>
      <x:c r="U138" s="114" t="n">
        <x:f>'Scenarios'!$D$50</x:f>
        <x:v>1000</x:v>
      </x:c>
      <x:c r="V138" s="114" t="n">
        <x:f>'Scenarios'!$D$50</x:f>
        <x:v>1000</x:v>
      </x:c>
      <x:c r="W138" s="114" t="n">
        <x:f>'Scenarios'!$D$50</x:f>
        <x:v>1000</x:v>
      </x:c>
      <x:c r="X138" s="114" t="n">
        <x:f>'Scenarios'!$D$50</x:f>
        <x:v>1000</x:v>
      </x:c>
      <x:c r="Y138" s="114" t="n">
        <x:f>'Scenarios'!$D$50</x:f>
        <x:v>1000</x:v>
      </x:c>
      <x:c r="Z138" s="114" t="n">
        <x:f>'Scenarios'!$D$50</x:f>
        <x:v>1000</x:v>
      </x:c>
      <x:c r="AA138" s="114" t="n">
        <x:f>'Scenarios'!$D$50</x:f>
        <x:v>1000</x:v>
      </x:c>
      <x:c r="AB138" s="114" t="n">
        <x:f>'Scenarios'!$D$50</x:f>
        <x:v>1000</x:v>
      </x:c>
      <x:c r="AC138" s="114" t="n">
        <x:f>'Scenarios'!$D$50</x:f>
        <x:v>1000</x:v>
      </x:c>
      <x:c r="AD138" s="114" t="n">
        <x:f>'Scenarios'!$D$50</x:f>
        <x:v>1000</x:v>
      </x:c>
      <x:c r="AE138" s="114" t="n">
        <x:f>'Scenarios'!$D$50</x:f>
        <x:v>1000</x:v>
      </x:c>
      <x:c r="AF138" s="114" t="n">
        <x:f>'Scenarios'!$D$50</x:f>
        <x:v>1000</x:v>
      </x:c>
      <x:c r="AG138" s="114" t="n">
        <x:f>'Scenarios'!$D$50</x:f>
        <x:v>1000</x:v>
      </x:c>
      <x:c r="AH138" s="114" t="n">
        <x:f>'Scenarios'!$D$50</x:f>
        <x:v>1000</x:v>
      </x:c>
      <x:c r="AI138" s="114" t="n">
        <x:f>'Scenarios'!$D$50</x:f>
        <x:v>1000</x:v>
      </x:c>
      <x:c r="AJ138" s="114" t="n">
        <x:f>'Scenarios'!$D$50</x:f>
        <x:v>1000</x:v>
      </x:c>
      <x:c r="AK138" s="114" t="n">
        <x:f>'Scenarios'!$D$50</x:f>
        <x:v>1000</x:v>
      </x:c>
      <x:c r="AL138" s="114" t="n">
        <x:f>'Scenarios'!$D$50</x:f>
        <x:v>1000</x:v>
      </x:c>
    </x:row>
    <x:row r="139">
      <x:c r="A139" s="84" t="str">
        <x:v>Sales and marketing</x:v>
      </x:c>
      <x:c r="B139" s="84" t="str">
        <x:v>$</x:v>
      </x:c>
      <x:c r="C139" s="114" t="n">
        <x:f>'Scenarios'!$D$51</x:f>
        <x:v>1000</x:v>
      </x:c>
      <x:c r="D139" s="114" t="n">
        <x:f>'Scenarios'!$D$51</x:f>
        <x:v>1000</x:v>
      </x:c>
      <x:c r="E139" s="114" t="n">
        <x:f>'Scenarios'!$D$51</x:f>
        <x:v>1000</x:v>
      </x:c>
      <x:c r="F139" s="114" t="n">
        <x:f>'Scenarios'!$D$51</x:f>
        <x:v>1000</x:v>
      </x:c>
      <x:c r="G139" s="114" t="n">
        <x:f>'Scenarios'!$D$51</x:f>
        <x:v>1000</x:v>
      </x:c>
      <x:c r="H139" s="114" t="n">
        <x:f>'Scenarios'!$D$51</x:f>
        <x:v>1000</x:v>
      </x:c>
      <x:c r="I139" s="114" t="n">
        <x:f>'Scenarios'!$D$51</x:f>
        <x:v>1000</x:v>
      </x:c>
      <x:c r="J139" s="114" t="n">
        <x:f>'Scenarios'!$D$51</x:f>
        <x:v>1000</x:v>
      </x:c>
      <x:c r="K139" s="114" t="n">
        <x:f>'Scenarios'!$D$51</x:f>
        <x:v>1000</x:v>
      </x:c>
      <x:c r="L139" s="114" t="n">
        <x:f>'Scenarios'!$D$51</x:f>
        <x:v>1000</x:v>
      </x:c>
      <x:c r="M139" s="114" t="n">
        <x:f>'Scenarios'!$D$51</x:f>
        <x:v>1000</x:v>
      </x:c>
      <x:c r="N139" s="114" t="n">
        <x:f>'Scenarios'!$D$51</x:f>
        <x:v>1000</x:v>
      </x:c>
      <x:c r="O139" s="114" t="n">
        <x:f>'Scenarios'!$D$51</x:f>
        <x:v>1000</x:v>
      </x:c>
      <x:c r="P139" s="114" t="n">
        <x:f>'Scenarios'!$D$51</x:f>
        <x:v>1000</x:v>
      </x:c>
      <x:c r="Q139" s="114" t="n">
        <x:f>'Scenarios'!$D$51</x:f>
        <x:v>1000</x:v>
      </x:c>
      <x:c r="R139" s="114" t="n">
        <x:f>'Scenarios'!$D$51</x:f>
        <x:v>1000</x:v>
      </x:c>
      <x:c r="S139" s="114" t="n">
        <x:f>'Scenarios'!$D$51</x:f>
        <x:v>1000</x:v>
      </x:c>
      <x:c r="T139" s="114" t="n">
        <x:f>'Scenarios'!$D$51</x:f>
        <x:v>1000</x:v>
      </x:c>
      <x:c r="U139" s="114" t="n">
        <x:f>'Scenarios'!$D$51</x:f>
        <x:v>1000</x:v>
      </x:c>
      <x:c r="V139" s="114" t="n">
        <x:f>'Scenarios'!$D$51</x:f>
        <x:v>1000</x:v>
      </x:c>
      <x:c r="W139" s="114" t="n">
        <x:f>'Scenarios'!$D$51</x:f>
        <x:v>1000</x:v>
      </x:c>
      <x:c r="X139" s="114" t="n">
        <x:f>'Scenarios'!$D$51</x:f>
        <x:v>1000</x:v>
      </x:c>
      <x:c r="Y139" s="114" t="n">
        <x:f>'Scenarios'!$D$51</x:f>
        <x:v>1000</x:v>
      </x:c>
      <x:c r="Z139" s="114" t="n">
        <x:f>'Scenarios'!$D$51</x:f>
        <x:v>1000</x:v>
      </x:c>
      <x:c r="AA139" s="114" t="n">
        <x:f>'Scenarios'!$D$51</x:f>
        <x:v>1000</x:v>
      </x:c>
      <x:c r="AB139" s="114" t="n">
        <x:f>'Scenarios'!$D$51</x:f>
        <x:v>1000</x:v>
      </x:c>
      <x:c r="AC139" s="114" t="n">
        <x:f>'Scenarios'!$D$51</x:f>
        <x:v>1000</x:v>
      </x:c>
      <x:c r="AD139" s="114" t="n">
        <x:f>'Scenarios'!$D$51</x:f>
        <x:v>1000</x:v>
      </x:c>
      <x:c r="AE139" s="114" t="n">
        <x:f>'Scenarios'!$D$51</x:f>
        <x:v>1000</x:v>
      </x:c>
      <x:c r="AF139" s="114" t="n">
        <x:f>'Scenarios'!$D$51</x:f>
        <x:v>1000</x:v>
      </x:c>
      <x:c r="AG139" s="114" t="n">
        <x:f>'Scenarios'!$D$51</x:f>
        <x:v>1000</x:v>
      </x:c>
      <x:c r="AH139" s="114" t="n">
        <x:f>'Scenarios'!$D$51</x:f>
        <x:v>1000</x:v>
      </x:c>
      <x:c r="AI139" s="114" t="n">
        <x:f>'Scenarios'!$D$51</x:f>
        <x:v>1000</x:v>
      </x:c>
      <x:c r="AJ139" s="114" t="n">
        <x:f>'Scenarios'!$D$51</x:f>
        <x:v>1000</x:v>
      </x:c>
      <x:c r="AK139" s="114" t="n">
        <x:f>'Scenarios'!$D$51</x:f>
        <x:v>1000</x:v>
      </x:c>
      <x:c r="AL139" s="114" t="n">
        <x:f>'Scenarios'!$D$51</x:f>
        <x:v>1000</x:v>
      </x:c>
    </x:row>
    <x:row r="140">
      <x:c r="A140" s="84" t="str">
        <x:v>Legal and insurance</x:v>
      </x:c>
      <x:c r="B140" s="84" t="str">
        <x:v>$</x:v>
      </x:c>
      <x:c r="C140" s="114" t="n">
        <x:f>'Scenarios'!$D$52</x:f>
        <x:v>750</x:v>
      </x:c>
      <x:c r="D140" s="114" t="n">
        <x:f>'Scenarios'!$D$52</x:f>
        <x:v>750</x:v>
      </x:c>
      <x:c r="E140" s="114" t="n">
        <x:f>'Scenarios'!$D$52</x:f>
        <x:v>750</x:v>
      </x:c>
      <x:c r="F140" s="114" t="n">
        <x:f>'Scenarios'!$D$52</x:f>
        <x:v>750</x:v>
      </x:c>
      <x:c r="G140" s="114" t="n">
        <x:f>'Scenarios'!$D$52</x:f>
        <x:v>750</x:v>
      </x:c>
      <x:c r="H140" s="114" t="n">
        <x:f>'Scenarios'!$D$52</x:f>
        <x:v>750</x:v>
      </x:c>
      <x:c r="I140" s="114" t="n">
        <x:f>'Scenarios'!$D$52</x:f>
        <x:v>750</x:v>
      </x:c>
      <x:c r="J140" s="114" t="n">
        <x:f>'Scenarios'!$D$52</x:f>
        <x:v>750</x:v>
      </x:c>
      <x:c r="K140" s="114" t="n">
        <x:f>'Scenarios'!$D$52</x:f>
        <x:v>750</x:v>
      </x:c>
      <x:c r="L140" s="114" t="n">
        <x:f>'Scenarios'!$D$52</x:f>
        <x:v>750</x:v>
      </x:c>
      <x:c r="M140" s="114" t="n">
        <x:f>'Scenarios'!$D$52</x:f>
        <x:v>750</x:v>
      </x:c>
      <x:c r="N140" s="114" t="n">
        <x:f>'Scenarios'!$D$52</x:f>
        <x:v>750</x:v>
      </x:c>
      <x:c r="O140" s="114" t="n">
        <x:f>'Scenarios'!$D$52</x:f>
        <x:v>750</x:v>
      </x:c>
      <x:c r="P140" s="114" t="n">
        <x:f>'Scenarios'!$D$52</x:f>
        <x:v>750</x:v>
      </x:c>
      <x:c r="Q140" s="114" t="n">
        <x:f>'Scenarios'!$D$52</x:f>
        <x:v>750</x:v>
      </x:c>
      <x:c r="R140" s="114" t="n">
        <x:f>'Scenarios'!$D$52</x:f>
        <x:v>750</x:v>
      </x:c>
      <x:c r="S140" s="114" t="n">
        <x:f>'Scenarios'!$D$52</x:f>
        <x:v>750</x:v>
      </x:c>
      <x:c r="T140" s="114" t="n">
        <x:f>'Scenarios'!$D$52</x:f>
        <x:v>750</x:v>
      </x:c>
      <x:c r="U140" s="114" t="n">
        <x:f>'Scenarios'!$D$52</x:f>
        <x:v>750</x:v>
      </x:c>
      <x:c r="V140" s="114" t="n">
        <x:f>'Scenarios'!$D$52</x:f>
        <x:v>750</x:v>
      </x:c>
      <x:c r="W140" s="114" t="n">
        <x:f>'Scenarios'!$D$52</x:f>
        <x:v>750</x:v>
      </x:c>
      <x:c r="X140" s="114" t="n">
        <x:f>'Scenarios'!$D$52</x:f>
        <x:v>750</x:v>
      </x:c>
      <x:c r="Y140" s="114" t="n">
        <x:f>'Scenarios'!$D$52</x:f>
        <x:v>750</x:v>
      </x:c>
      <x:c r="Z140" s="114" t="n">
        <x:f>'Scenarios'!$D$52</x:f>
        <x:v>750</x:v>
      </x:c>
      <x:c r="AA140" s="114" t="n">
        <x:f>'Scenarios'!$D$52</x:f>
        <x:v>750</x:v>
      </x:c>
      <x:c r="AB140" s="114" t="n">
        <x:f>'Scenarios'!$D$52</x:f>
        <x:v>750</x:v>
      </x:c>
      <x:c r="AC140" s="114" t="n">
        <x:f>'Scenarios'!$D$52</x:f>
        <x:v>750</x:v>
      </x:c>
      <x:c r="AD140" s="114" t="n">
        <x:f>'Scenarios'!$D$52</x:f>
        <x:v>750</x:v>
      </x:c>
      <x:c r="AE140" s="114" t="n">
        <x:f>'Scenarios'!$D$52</x:f>
        <x:v>750</x:v>
      </x:c>
      <x:c r="AF140" s="114" t="n">
        <x:f>'Scenarios'!$D$52</x:f>
        <x:v>750</x:v>
      </x:c>
      <x:c r="AG140" s="114" t="n">
        <x:f>'Scenarios'!$D$52</x:f>
        <x:v>750</x:v>
      </x:c>
      <x:c r="AH140" s="114" t="n">
        <x:f>'Scenarios'!$D$52</x:f>
        <x:v>750</x:v>
      </x:c>
      <x:c r="AI140" s="114" t="n">
        <x:f>'Scenarios'!$D$52</x:f>
        <x:v>750</x:v>
      </x:c>
      <x:c r="AJ140" s="114" t="n">
        <x:f>'Scenarios'!$D$52</x:f>
        <x:v>750</x:v>
      </x:c>
      <x:c r="AK140" s="114" t="n">
        <x:f>'Scenarios'!$D$52</x:f>
        <x:v>750</x:v>
      </x:c>
      <x:c r="AL140" s="114" t="n">
        <x:f>'Scenarios'!$D$52</x:f>
        <x:v>750</x:v>
      </x:c>
    </x:row>
    <x:row r="141">
      <x:c r="A141" s="84" t="str">
        <x:v>Other operating expense</x:v>
      </x:c>
      <x:c r="B141" s="84" t="str">
        <x:v>$</x:v>
      </x:c>
      <x:c r="C141" s="114" t="n">
        <x:f>'Scenarios'!$D$53</x:f>
        <x:v>500</x:v>
      </x:c>
      <x:c r="D141" s="114" t="n">
        <x:f>'Scenarios'!$D$53</x:f>
        <x:v>500</x:v>
      </x:c>
      <x:c r="E141" s="114" t="n">
        <x:f>'Scenarios'!$D$53</x:f>
        <x:v>500</x:v>
      </x:c>
      <x:c r="F141" s="114" t="n">
        <x:f>'Scenarios'!$D$53</x:f>
        <x:v>500</x:v>
      </x:c>
      <x:c r="G141" s="114" t="n">
        <x:f>'Scenarios'!$D$53</x:f>
        <x:v>500</x:v>
      </x:c>
      <x:c r="H141" s="114" t="n">
        <x:f>'Scenarios'!$D$53</x:f>
        <x:v>500</x:v>
      </x:c>
      <x:c r="I141" s="114" t="n">
        <x:f>'Scenarios'!$D$53</x:f>
        <x:v>500</x:v>
      </x:c>
      <x:c r="J141" s="114" t="n">
        <x:f>'Scenarios'!$D$53</x:f>
        <x:v>500</x:v>
      </x:c>
      <x:c r="K141" s="114" t="n">
        <x:f>'Scenarios'!$D$53</x:f>
        <x:v>500</x:v>
      </x:c>
      <x:c r="L141" s="114" t="n">
        <x:f>'Scenarios'!$D$53</x:f>
        <x:v>500</x:v>
      </x:c>
      <x:c r="M141" s="114" t="n">
        <x:f>'Scenarios'!$D$53</x:f>
        <x:v>500</x:v>
      </x:c>
      <x:c r="N141" s="114" t="n">
        <x:f>'Scenarios'!$D$53</x:f>
        <x:v>500</x:v>
      </x:c>
      <x:c r="O141" s="114" t="n">
        <x:f>'Scenarios'!$D$53</x:f>
        <x:v>500</x:v>
      </x:c>
      <x:c r="P141" s="114" t="n">
        <x:f>'Scenarios'!$D$53</x:f>
        <x:v>500</x:v>
      </x:c>
      <x:c r="Q141" s="114" t="n">
        <x:f>'Scenarios'!$D$53</x:f>
        <x:v>500</x:v>
      </x:c>
      <x:c r="R141" s="114" t="n">
        <x:f>'Scenarios'!$D$53</x:f>
        <x:v>500</x:v>
      </x:c>
      <x:c r="S141" s="114" t="n">
        <x:f>'Scenarios'!$D$53</x:f>
        <x:v>500</x:v>
      </x:c>
      <x:c r="T141" s="114" t="n">
        <x:f>'Scenarios'!$D$53</x:f>
        <x:v>500</x:v>
      </x:c>
      <x:c r="U141" s="114" t="n">
        <x:f>'Scenarios'!$D$53</x:f>
        <x:v>500</x:v>
      </x:c>
      <x:c r="V141" s="114" t="n">
        <x:f>'Scenarios'!$D$53</x:f>
        <x:v>500</x:v>
      </x:c>
      <x:c r="W141" s="114" t="n">
        <x:f>'Scenarios'!$D$53</x:f>
        <x:v>500</x:v>
      </x:c>
      <x:c r="X141" s="114" t="n">
        <x:f>'Scenarios'!$D$53</x:f>
        <x:v>500</x:v>
      </x:c>
      <x:c r="Y141" s="114" t="n">
        <x:f>'Scenarios'!$D$53</x:f>
        <x:v>500</x:v>
      </x:c>
      <x:c r="Z141" s="114" t="n">
        <x:f>'Scenarios'!$D$53</x:f>
        <x:v>500</x:v>
      </x:c>
      <x:c r="AA141" s="114" t="n">
        <x:f>'Scenarios'!$D$53</x:f>
        <x:v>500</x:v>
      </x:c>
      <x:c r="AB141" s="114" t="n">
        <x:f>'Scenarios'!$D$53</x:f>
        <x:v>500</x:v>
      </x:c>
      <x:c r="AC141" s="114" t="n">
        <x:f>'Scenarios'!$D$53</x:f>
        <x:v>500</x:v>
      </x:c>
      <x:c r="AD141" s="114" t="n">
        <x:f>'Scenarios'!$D$53</x:f>
        <x:v>500</x:v>
      </x:c>
      <x:c r="AE141" s="114" t="n">
        <x:f>'Scenarios'!$D$53</x:f>
        <x:v>500</x:v>
      </x:c>
      <x:c r="AF141" s="114" t="n">
        <x:f>'Scenarios'!$D$53</x:f>
        <x:v>500</x:v>
      </x:c>
      <x:c r="AG141" s="114" t="n">
        <x:f>'Scenarios'!$D$53</x:f>
        <x:v>500</x:v>
      </x:c>
      <x:c r="AH141" s="114" t="n">
        <x:f>'Scenarios'!$D$53</x:f>
        <x:v>500</x:v>
      </x:c>
      <x:c r="AI141" s="114" t="n">
        <x:f>'Scenarios'!$D$53</x:f>
        <x:v>500</x:v>
      </x:c>
      <x:c r="AJ141" s="114" t="n">
        <x:f>'Scenarios'!$D$53</x:f>
        <x:v>500</x:v>
      </x:c>
      <x:c r="AK141" s="114" t="n">
        <x:f>'Scenarios'!$D$53</x:f>
        <x:v>500</x:v>
      </x:c>
      <x:c r="AL141" s="114" t="n">
        <x:f>'Scenarios'!$D$53</x:f>
        <x:v>500</x:v>
      </x:c>
    </x:row>
    <x:row r="142">
      <x:c r="A142" s="84" t="str">
        <x:v>Initial setup spend</x:v>
      </x:c>
      <x:c r="B142" s="84" t="str">
        <x:v>$</x:v>
      </x:c>
      <x:c r="C142" s="114" t="n">
        <x:f>IF(C86=1,'Scenarios'!$D$54,0)</x:f>
        <x:v>5000</x:v>
      </x:c>
      <x:c r="D142" s="114" t="n">
        <x:f>IF(D86=1,'Scenarios'!$D$54,0)</x:f>
        <x:v>0</x:v>
      </x:c>
      <x:c r="E142" s="114" t="n">
        <x:f>IF(E86=1,'Scenarios'!$D$54,0)</x:f>
        <x:v>0</x:v>
      </x:c>
      <x:c r="F142" s="114" t="n">
        <x:f>IF(F86=1,'Scenarios'!$D$54,0)</x:f>
        <x:v>0</x:v>
      </x:c>
      <x:c r="G142" s="114" t="n">
        <x:f>IF(G86=1,'Scenarios'!$D$54,0)</x:f>
        <x:v>0</x:v>
      </x:c>
      <x:c r="H142" s="114" t="n">
        <x:f>IF(H86=1,'Scenarios'!$D$54,0)</x:f>
        <x:v>0</x:v>
      </x:c>
      <x:c r="I142" s="114" t="n">
        <x:f>IF(I86=1,'Scenarios'!$D$54,0)</x:f>
        <x:v>0</x:v>
      </x:c>
      <x:c r="J142" s="114" t="n">
        <x:f>IF(J86=1,'Scenarios'!$D$54,0)</x:f>
        <x:v>0</x:v>
      </x:c>
      <x:c r="K142" s="114" t="n">
        <x:f>IF(K86=1,'Scenarios'!$D$54,0)</x:f>
        <x:v>0</x:v>
      </x:c>
      <x:c r="L142" s="114" t="n">
        <x:f>IF(L86=1,'Scenarios'!$D$54,0)</x:f>
        <x:v>0</x:v>
      </x:c>
      <x:c r="M142" s="114" t="n">
        <x:f>IF(M86=1,'Scenarios'!$D$54,0)</x:f>
        <x:v>0</x:v>
      </x:c>
      <x:c r="N142" s="114" t="n">
        <x:f>IF(N86=1,'Scenarios'!$D$54,0)</x:f>
        <x:v>0</x:v>
      </x:c>
      <x:c r="O142" s="114" t="n">
        <x:f>IF(O86=1,'Scenarios'!$D$54,0)</x:f>
        <x:v>0</x:v>
      </x:c>
      <x:c r="P142" s="114" t="n">
        <x:f>IF(P86=1,'Scenarios'!$D$54,0)</x:f>
        <x:v>0</x:v>
      </x:c>
      <x:c r="Q142" s="114" t="n">
        <x:f>IF(Q86=1,'Scenarios'!$D$54,0)</x:f>
        <x:v>0</x:v>
      </x:c>
      <x:c r="R142" s="114" t="n">
        <x:f>IF(R86=1,'Scenarios'!$D$54,0)</x:f>
        <x:v>0</x:v>
      </x:c>
      <x:c r="S142" s="114" t="n">
        <x:f>IF(S86=1,'Scenarios'!$D$54,0)</x:f>
        <x:v>0</x:v>
      </x:c>
      <x:c r="T142" s="114" t="n">
        <x:f>IF(T86=1,'Scenarios'!$D$54,0)</x:f>
        <x:v>0</x:v>
      </x:c>
      <x:c r="U142" s="114" t="n">
        <x:f>IF(U86=1,'Scenarios'!$D$54,0)</x:f>
        <x:v>0</x:v>
      </x:c>
      <x:c r="V142" s="114" t="n">
        <x:f>IF(V86=1,'Scenarios'!$D$54,0)</x:f>
        <x:v>0</x:v>
      </x:c>
      <x:c r="W142" s="114" t="n">
        <x:f>IF(W86=1,'Scenarios'!$D$54,0)</x:f>
        <x:v>0</x:v>
      </x:c>
      <x:c r="X142" s="114" t="n">
        <x:f>IF(X86=1,'Scenarios'!$D$54,0)</x:f>
        <x:v>0</x:v>
      </x:c>
      <x:c r="Y142" s="114" t="n">
        <x:f>IF(Y86=1,'Scenarios'!$D$54,0)</x:f>
        <x:v>0</x:v>
      </x:c>
      <x:c r="Z142" s="114" t="n">
        <x:f>IF(Z86=1,'Scenarios'!$D$54,0)</x:f>
        <x:v>0</x:v>
      </x:c>
      <x:c r="AA142" s="114" t="n">
        <x:f>IF(AA86=1,'Scenarios'!$D$54,0)</x:f>
        <x:v>0</x:v>
      </x:c>
      <x:c r="AB142" s="114" t="n">
        <x:f>IF(AB86=1,'Scenarios'!$D$54,0)</x:f>
        <x:v>0</x:v>
      </x:c>
      <x:c r="AC142" s="114" t="n">
        <x:f>IF(AC86=1,'Scenarios'!$D$54,0)</x:f>
        <x:v>0</x:v>
      </x:c>
      <x:c r="AD142" s="114" t="n">
        <x:f>IF(AD86=1,'Scenarios'!$D$54,0)</x:f>
        <x:v>0</x:v>
      </x:c>
      <x:c r="AE142" s="114" t="n">
        <x:f>IF(AE86=1,'Scenarios'!$D$54,0)</x:f>
        <x:v>0</x:v>
      </x:c>
      <x:c r="AF142" s="114" t="n">
        <x:f>IF(AF86=1,'Scenarios'!$D$54,0)</x:f>
        <x:v>0</x:v>
      </x:c>
      <x:c r="AG142" s="114" t="n">
        <x:f>IF(AG86=1,'Scenarios'!$D$54,0)</x:f>
        <x:v>0</x:v>
      </x:c>
      <x:c r="AH142" s="114" t="n">
        <x:f>IF(AH86=1,'Scenarios'!$D$54,0)</x:f>
        <x:v>0</x:v>
      </x:c>
      <x:c r="AI142" s="114" t="n">
        <x:f>IF(AI86=1,'Scenarios'!$D$54,0)</x:f>
        <x:v>0</x:v>
      </x:c>
      <x:c r="AJ142" s="114" t="n">
        <x:f>IF(AJ86=1,'Scenarios'!$D$54,0)</x:f>
        <x:v>0</x:v>
      </x:c>
      <x:c r="AK142" s="114" t="n">
        <x:f>IF(AK86=1,'Scenarios'!$D$54,0)</x:f>
        <x:v>0</x:v>
      </x:c>
      <x:c r="AL142" s="114" t="n">
        <x:f>IF(AL86=1,'Scenarios'!$D$54,0)</x:f>
        <x:v>0</x:v>
      </x:c>
    </x:row>
    <x:row r="143">
      <x:c r="A143" s="84" t="str">
        <x:v>Production-readiness spend</x:v>
      </x:c>
      <x:c r="B143" s="84" t="str">
        <x:v>$</x:v>
      </x:c>
      <x:c r="C143" s="114" t="n">
        <x:f>IF(C86='Scenarios'!$D$56,'Scenarios'!$D$55,0)</x:f>
        <x:v>0</x:v>
      </x:c>
      <x:c r="D143" s="114" t="n">
        <x:f>IF(D86='Scenarios'!$D$56,'Scenarios'!$D$55,0)</x:f>
        <x:v>0</x:v>
      </x:c>
      <x:c r="E143" s="114" t="n">
        <x:f>IF(E86='Scenarios'!$D$56,'Scenarios'!$D$55,0)</x:f>
        <x:v>0</x:v>
      </x:c>
      <x:c r="F143" s="114" t="n">
        <x:f>IF(F86='Scenarios'!$D$56,'Scenarios'!$D$55,0)</x:f>
        <x:v>0</x:v>
      </x:c>
      <x:c r="G143" s="114" t="n">
        <x:f>IF(G86='Scenarios'!$D$56,'Scenarios'!$D$55,0)</x:f>
        <x:v>0</x:v>
      </x:c>
      <x:c r="H143" s="114" t="n">
        <x:f>IF(H86='Scenarios'!$D$56,'Scenarios'!$D$55,0)</x:f>
        <x:v>0</x:v>
      </x:c>
      <x:c r="I143" s="114" t="n">
        <x:f>IF(I86='Scenarios'!$D$56,'Scenarios'!$D$55,0)</x:f>
        <x:v>0</x:v>
      </x:c>
      <x:c r="J143" s="114" t="n">
        <x:f>IF(J86='Scenarios'!$D$56,'Scenarios'!$D$55,0)</x:f>
        <x:v>0</x:v>
      </x:c>
      <x:c r="K143" s="114" t="n">
        <x:f>IF(K86='Scenarios'!$D$56,'Scenarios'!$D$55,0)</x:f>
        <x:v>0</x:v>
      </x:c>
      <x:c r="L143" s="114" t="n">
        <x:f>IF(L86='Scenarios'!$D$56,'Scenarios'!$D$55,0)</x:f>
        <x:v>12500</x:v>
      </x:c>
      <x:c r="M143" s="114" t="n">
        <x:f>IF(M86='Scenarios'!$D$56,'Scenarios'!$D$55,0)</x:f>
        <x:v>0</x:v>
      </x:c>
      <x:c r="N143" s="114" t="n">
        <x:f>IF(N86='Scenarios'!$D$56,'Scenarios'!$D$55,0)</x:f>
        <x:v>0</x:v>
      </x:c>
      <x:c r="O143" s="114" t="n">
        <x:f>IF(O86='Scenarios'!$D$56,'Scenarios'!$D$55,0)</x:f>
        <x:v>0</x:v>
      </x:c>
      <x:c r="P143" s="114" t="n">
        <x:f>IF(P86='Scenarios'!$D$56,'Scenarios'!$D$55,0)</x:f>
        <x:v>0</x:v>
      </x:c>
      <x:c r="Q143" s="114" t="n">
        <x:f>IF(Q86='Scenarios'!$D$56,'Scenarios'!$D$55,0)</x:f>
        <x:v>0</x:v>
      </x:c>
      <x:c r="R143" s="114" t="n">
        <x:f>IF(R86='Scenarios'!$D$56,'Scenarios'!$D$55,0)</x:f>
        <x:v>0</x:v>
      </x:c>
      <x:c r="S143" s="114" t="n">
        <x:f>IF(S86='Scenarios'!$D$56,'Scenarios'!$D$55,0)</x:f>
        <x:v>0</x:v>
      </x:c>
      <x:c r="T143" s="114" t="n">
        <x:f>IF(T86='Scenarios'!$D$56,'Scenarios'!$D$55,0)</x:f>
        <x:v>0</x:v>
      </x:c>
      <x:c r="U143" s="114" t="n">
        <x:f>IF(U86='Scenarios'!$D$56,'Scenarios'!$D$55,0)</x:f>
        <x:v>0</x:v>
      </x:c>
      <x:c r="V143" s="114" t="n">
        <x:f>IF(V86='Scenarios'!$D$56,'Scenarios'!$D$55,0)</x:f>
        <x:v>0</x:v>
      </x:c>
      <x:c r="W143" s="114" t="n">
        <x:f>IF(W86='Scenarios'!$D$56,'Scenarios'!$D$55,0)</x:f>
        <x:v>0</x:v>
      </x:c>
      <x:c r="X143" s="114" t="n">
        <x:f>IF(X86='Scenarios'!$D$56,'Scenarios'!$D$55,0)</x:f>
        <x:v>0</x:v>
      </x:c>
      <x:c r="Y143" s="114" t="n">
        <x:f>IF(Y86='Scenarios'!$D$56,'Scenarios'!$D$55,0)</x:f>
        <x:v>0</x:v>
      </x:c>
      <x:c r="Z143" s="114" t="n">
        <x:f>IF(Z86='Scenarios'!$D$56,'Scenarios'!$D$55,0)</x:f>
        <x:v>0</x:v>
      </x:c>
      <x:c r="AA143" s="114" t="n">
        <x:f>IF(AA86='Scenarios'!$D$56,'Scenarios'!$D$55,0)</x:f>
        <x:v>0</x:v>
      </x:c>
      <x:c r="AB143" s="114" t="n">
        <x:f>IF(AB86='Scenarios'!$D$56,'Scenarios'!$D$55,0)</x:f>
        <x:v>0</x:v>
      </x:c>
      <x:c r="AC143" s="114" t="n">
        <x:f>IF(AC86='Scenarios'!$D$56,'Scenarios'!$D$55,0)</x:f>
        <x:v>0</x:v>
      </x:c>
      <x:c r="AD143" s="114" t="n">
        <x:f>IF(AD86='Scenarios'!$D$56,'Scenarios'!$D$55,0)</x:f>
        <x:v>0</x:v>
      </x:c>
      <x:c r="AE143" s="114" t="n">
        <x:f>IF(AE86='Scenarios'!$D$56,'Scenarios'!$D$55,0)</x:f>
        <x:v>0</x:v>
      </x:c>
      <x:c r="AF143" s="114" t="n">
        <x:f>IF(AF86='Scenarios'!$D$56,'Scenarios'!$D$55,0)</x:f>
        <x:v>0</x:v>
      </x:c>
      <x:c r="AG143" s="114" t="n">
        <x:f>IF(AG86='Scenarios'!$D$56,'Scenarios'!$D$55,0)</x:f>
        <x:v>0</x:v>
      </x:c>
      <x:c r="AH143" s="114" t="n">
        <x:f>IF(AH86='Scenarios'!$D$56,'Scenarios'!$D$55,0)</x:f>
        <x:v>0</x:v>
      </x:c>
      <x:c r="AI143" s="114" t="n">
        <x:f>IF(AI86='Scenarios'!$D$56,'Scenarios'!$D$55,0)</x:f>
        <x:v>0</x:v>
      </x:c>
      <x:c r="AJ143" s="114" t="n">
        <x:f>IF(AJ86='Scenarios'!$D$56,'Scenarios'!$D$55,0)</x:f>
        <x:v>0</x:v>
      </x:c>
      <x:c r="AK143" s="114" t="n">
        <x:f>IF(AK86='Scenarios'!$D$56,'Scenarios'!$D$55,0)</x:f>
        <x:v>0</x:v>
      </x:c>
      <x:c r="AL143" s="114" t="n">
        <x:f>IF(AL86='Scenarios'!$D$56,'Scenarios'!$D$55,0)</x:f>
        <x:v>0</x:v>
      </x:c>
    </x:row>
    <x:row r="144">
      <x:c r="A144" s="84" t="str">
        <x:v>Repeatable-delivery spend</x:v>
      </x:c>
      <x:c r="B144" s="84" t="str">
        <x:v>$</x:v>
      </x:c>
      <x:c r="C144" s="114" t="n">
        <x:f>IF(C86='Scenarios'!$D$58,'Scenarios'!$D$57,0)</x:f>
        <x:v>0</x:v>
      </x:c>
      <x:c r="D144" s="114" t="n">
        <x:f>IF(D86='Scenarios'!$D$58,'Scenarios'!$D$57,0)</x:f>
        <x:v>0</x:v>
      </x:c>
      <x:c r="E144" s="114" t="n">
        <x:f>IF(E86='Scenarios'!$D$58,'Scenarios'!$D$57,0)</x:f>
        <x:v>0</x:v>
      </x:c>
      <x:c r="F144" s="114" t="n">
        <x:f>IF(F86='Scenarios'!$D$58,'Scenarios'!$D$57,0)</x:f>
        <x:v>0</x:v>
      </x:c>
      <x:c r="G144" s="114" t="n">
        <x:f>IF(G86='Scenarios'!$D$58,'Scenarios'!$D$57,0)</x:f>
        <x:v>0</x:v>
      </x:c>
      <x:c r="H144" s="114" t="n">
        <x:f>IF(H86='Scenarios'!$D$58,'Scenarios'!$D$57,0)</x:f>
        <x:v>0</x:v>
      </x:c>
      <x:c r="I144" s="114" t="n">
        <x:f>IF(I86='Scenarios'!$D$58,'Scenarios'!$D$57,0)</x:f>
        <x:v>0</x:v>
      </x:c>
      <x:c r="J144" s="114" t="n">
        <x:f>IF(J86='Scenarios'!$D$58,'Scenarios'!$D$57,0)</x:f>
        <x:v>0</x:v>
      </x:c>
      <x:c r="K144" s="114" t="n">
        <x:f>IF(K86='Scenarios'!$D$58,'Scenarios'!$D$57,0)</x:f>
        <x:v>0</x:v>
      </x:c>
      <x:c r="L144" s="114" t="n">
        <x:f>IF(L86='Scenarios'!$D$58,'Scenarios'!$D$57,0)</x:f>
        <x:v>0</x:v>
      </x:c>
      <x:c r="M144" s="114" t="n">
        <x:f>IF(M86='Scenarios'!$D$58,'Scenarios'!$D$57,0)</x:f>
        <x:v>0</x:v>
      </x:c>
      <x:c r="N144" s="114" t="n">
        <x:f>IF(N86='Scenarios'!$D$58,'Scenarios'!$D$57,0)</x:f>
        <x:v>0</x:v>
      </x:c>
      <x:c r="O144" s="114" t="n">
        <x:f>IF(O86='Scenarios'!$D$58,'Scenarios'!$D$57,0)</x:f>
        <x:v>0</x:v>
      </x:c>
      <x:c r="P144" s="114" t="n">
        <x:f>IF(P86='Scenarios'!$D$58,'Scenarios'!$D$57,0)</x:f>
        <x:v>0</x:v>
      </x:c>
      <x:c r="Q144" s="114" t="n">
        <x:f>IF(Q86='Scenarios'!$D$58,'Scenarios'!$D$57,0)</x:f>
        <x:v>0</x:v>
      </x:c>
      <x:c r="R144" s="114" t="n">
        <x:f>IF(R86='Scenarios'!$D$58,'Scenarios'!$D$57,0)</x:f>
        <x:v>25000</x:v>
      </x:c>
      <x:c r="S144" s="114" t="n">
        <x:f>IF(S86='Scenarios'!$D$58,'Scenarios'!$D$57,0)</x:f>
        <x:v>0</x:v>
      </x:c>
      <x:c r="T144" s="114" t="n">
        <x:f>IF(T86='Scenarios'!$D$58,'Scenarios'!$D$57,0)</x:f>
        <x:v>0</x:v>
      </x:c>
      <x:c r="U144" s="114" t="n">
        <x:f>IF(U86='Scenarios'!$D$58,'Scenarios'!$D$57,0)</x:f>
        <x:v>0</x:v>
      </x:c>
      <x:c r="V144" s="114" t="n">
        <x:f>IF(V86='Scenarios'!$D$58,'Scenarios'!$D$57,0)</x:f>
        <x:v>0</x:v>
      </x:c>
      <x:c r="W144" s="114" t="n">
        <x:f>IF(W86='Scenarios'!$D$58,'Scenarios'!$D$57,0)</x:f>
        <x:v>0</x:v>
      </x:c>
      <x:c r="X144" s="114" t="n">
        <x:f>IF(X86='Scenarios'!$D$58,'Scenarios'!$D$57,0)</x:f>
        <x:v>0</x:v>
      </x:c>
      <x:c r="Y144" s="114" t="n">
        <x:f>IF(Y86='Scenarios'!$D$58,'Scenarios'!$D$57,0)</x:f>
        <x:v>0</x:v>
      </x:c>
      <x:c r="Z144" s="114" t="n">
        <x:f>IF(Z86='Scenarios'!$D$58,'Scenarios'!$D$57,0)</x:f>
        <x:v>0</x:v>
      </x:c>
      <x:c r="AA144" s="114" t="n">
        <x:f>IF(AA86='Scenarios'!$D$58,'Scenarios'!$D$57,0)</x:f>
        <x:v>0</x:v>
      </x:c>
      <x:c r="AB144" s="114" t="n">
        <x:f>IF(AB86='Scenarios'!$D$58,'Scenarios'!$D$57,0)</x:f>
        <x:v>0</x:v>
      </x:c>
      <x:c r="AC144" s="114" t="n">
        <x:f>IF(AC86='Scenarios'!$D$58,'Scenarios'!$D$57,0)</x:f>
        <x:v>0</x:v>
      </x:c>
      <x:c r="AD144" s="114" t="n">
        <x:f>IF(AD86='Scenarios'!$D$58,'Scenarios'!$D$57,0)</x:f>
        <x:v>0</x:v>
      </x:c>
      <x:c r="AE144" s="114" t="n">
        <x:f>IF(AE86='Scenarios'!$D$58,'Scenarios'!$D$57,0)</x:f>
        <x:v>0</x:v>
      </x:c>
      <x:c r="AF144" s="114" t="n">
        <x:f>IF(AF86='Scenarios'!$D$58,'Scenarios'!$D$57,0)</x:f>
        <x:v>0</x:v>
      </x:c>
      <x:c r="AG144" s="114" t="n">
        <x:f>IF(AG86='Scenarios'!$D$58,'Scenarios'!$D$57,0)</x:f>
        <x:v>0</x:v>
      </x:c>
      <x:c r="AH144" s="114" t="n">
        <x:f>IF(AH86='Scenarios'!$D$58,'Scenarios'!$D$57,0)</x:f>
        <x:v>0</x:v>
      </x:c>
      <x:c r="AI144" s="114" t="n">
        <x:f>IF(AI86='Scenarios'!$D$58,'Scenarios'!$D$57,0)</x:f>
        <x:v>0</x:v>
      </x:c>
      <x:c r="AJ144" s="114" t="n">
        <x:f>IF(AJ86='Scenarios'!$D$58,'Scenarios'!$D$57,0)</x:f>
        <x:v>0</x:v>
      </x:c>
      <x:c r="AK144" s="114" t="n">
        <x:f>IF(AK86='Scenarios'!$D$58,'Scenarios'!$D$57,0)</x:f>
        <x:v>0</x:v>
      </x:c>
      <x:c r="AL144" s="114" t="n">
        <x:f>IF(AL86='Scenarios'!$D$58,'Scenarios'!$D$57,0)</x:f>
        <x:v>0</x:v>
      </x:c>
    </x:row>
    <x:row r="145">
      <x:c r="A145" s="84" t="str">
        <x:v>Total cash operating expense</x:v>
      </x:c>
      <x:c r="B145" s="84" t="str">
        <x:v>$</x:v>
      </x:c>
      <x:c r="C145" s="114" t="n">
        <x:f>SUM(C136,C138:C144)</x:f>
        <x:v>8250</x:v>
      </x:c>
      <x:c r="D145" s="114" t="n">
        <x:f>SUM(D136,D138:D144)</x:f>
        <x:v>3250</x:v>
      </x:c>
      <x:c r="E145" s="114" t="n">
        <x:f>SUM(E136,E138:E144)</x:f>
        <x:v>3250</x:v>
      </x:c>
      <x:c r="F145" s="114" t="n">
        <x:f>SUM(F136,F138:F144)</x:f>
        <x:v>3250</x:v>
      </x:c>
      <x:c r="G145" s="114" t="n">
        <x:f>SUM(G136,G138:G144)</x:f>
        <x:v>3250</x:v>
      </x:c>
      <x:c r="H145" s="114" t="n">
        <x:f>SUM(H136,H138:H144)</x:f>
        <x:v>3250</x:v>
      </x:c>
      <x:c r="I145" s="114" t="n">
        <x:f>SUM(I136,I138:I144)</x:f>
        <x:v>3250</x:v>
      </x:c>
      <x:c r="J145" s="114" t="n">
        <x:f>SUM(J136,J138:J144)</x:f>
        <x:v>3250</x:v>
      </x:c>
      <x:c r="K145" s="114" t="n">
        <x:f>SUM(K136,K138:K144)</x:f>
        <x:v>3250</x:v>
      </x:c>
      <x:c r="L145" s="114" t="n">
        <x:f>SUM(L136,L138:L144)</x:f>
        <x:v>15750</x:v>
      </x:c>
      <x:c r="M145" s="114" t="n">
        <x:f>SUM(M136,M138:M144)</x:f>
        <x:v>3250</x:v>
      </x:c>
      <x:c r="N145" s="114" t="n">
        <x:f>SUM(N136,N138:N144)</x:f>
        <x:v>3250</x:v>
      </x:c>
      <x:c r="O145" s="114" t="n">
        <x:f>SUM(O136,O138:O144)</x:f>
        <x:v>6250</x:v>
      </x:c>
      <x:c r="P145" s="114" t="n">
        <x:f>SUM(P136,P138:P144)</x:f>
        <x:v>6250</x:v>
      </x:c>
      <x:c r="Q145" s="114" t="n">
        <x:f>SUM(Q136,Q138:Q144)</x:f>
        <x:v>6250</x:v>
      </x:c>
      <x:c r="R145" s="114" t="n">
        <x:f>SUM(R136,R138:R144)</x:f>
        <x:v>31250</x:v>
      </x:c>
      <x:c r="S145" s="114" t="n">
        <x:f>SUM(S136,S138:S144)</x:f>
        <x:v>6250</x:v>
      </x:c>
      <x:c r="T145" s="114" t="n">
        <x:f>SUM(T136,T138:T144)</x:f>
        <x:v>6250</x:v>
      </x:c>
      <x:c r="U145" s="114" t="n">
        <x:f>SUM(U136,U138:U144)</x:f>
        <x:v>6250</x:v>
      </x:c>
      <x:c r="V145" s="114" t="n">
        <x:f>SUM(V136,V138:V144)</x:f>
        <x:v>6250</x:v>
      </x:c>
      <x:c r="W145" s="114" t="n">
        <x:f>SUM(W136,W138:W144)</x:f>
        <x:v>6250</x:v>
      </x:c>
      <x:c r="X145" s="114" t="n">
        <x:f>SUM(X136,X138:X144)</x:f>
        <x:v>6250</x:v>
      </x:c>
      <x:c r="Y145" s="114" t="n">
        <x:f>SUM(Y136,Y138:Y144)</x:f>
        <x:v>6250</x:v>
      </x:c>
      <x:c r="Z145" s="114" t="n">
        <x:f>SUM(Z136,Z138:Z144)</x:f>
        <x:v>6250</x:v>
      </x:c>
      <x:c r="AA145" s="114" t="n">
        <x:f>SUM(AA136,AA138:AA144)</x:f>
        <x:v>6250</x:v>
      </x:c>
      <x:c r="AB145" s="114" t="n">
        <x:f>SUM(AB136,AB138:AB144)</x:f>
        <x:v>6250</x:v>
      </x:c>
      <x:c r="AC145" s="114" t="n">
        <x:f>SUM(AC136,AC138:AC144)</x:f>
        <x:v>6250</x:v>
      </x:c>
      <x:c r="AD145" s="114" t="n">
        <x:f>SUM(AD136,AD138:AD144)</x:f>
        <x:v>6250</x:v>
      </x:c>
      <x:c r="AE145" s="114" t="n">
        <x:f>SUM(AE136,AE138:AE144)</x:f>
        <x:v>6250</x:v>
      </x:c>
      <x:c r="AF145" s="114" t="n">
        <x:f>SUM(AF136,AF138:AF144)</x:f>
        <x:v>6250</x:v>
      </x:c>
      <x:c r="AG145" s="114" t="n">
        <x:f>SUM(AG136,AG138:AG144)</x:f>
        <x:v>6250</x:v>
      </x:c>
      <x:c r="AH145" s="114" t="n">
        <x:f>SUM(AH136,AH138:AH144)</x:f>
        <x:v>6250</x:v>
      </x:c>
      <x:c r="AI145" s="114" t="n">
        <x:f>SUM(AI136,AI138:AI144)</x:f>
        <x:v>6250</x:v>
      </x:c>
      <x:c r="AJ145" s="114" t="n">
        <x:f>SUM(AJ136,AJ138:AJ144)</x:f>
        <x:v>6250</x:v>
      </x:c>
      <x:c r="AK145" s="114" t="n">
        <x:f>SUM(AK136,AK138:AK144)</x:f>
        <x:v>6250</x:v>
      </x:c>
      <x:c r="AL145" s="114" t="n">
        <x:f>SUM(AL136,AL138:AL144)</x:f>
        <x:v>6250</x:v>
      </x:c>
    </x:row>
    <x:row r="146">
      <x:c r="A146" s="84" t="str">
        <x:v>Total normalized operating expense</x:v>
      </x:c>
      <x:c r="B146" s="84" t="str">
        <x:v>$</x:v>
      </x:c>
      <x:c r="C146" s="114" t="n">
        <x:f>C145-C136+C137</x:f>
        <x:v>18440.833333333336</x:v>
      </x:c>
      <x:c r="D146" s="114" t="n">
        <x:f>D145-D136+D137</x:f>
        <x:v>12450.833333333334</x:v>
      </x:c>
      <x:c r="E146" s="114" t="n">
        <x:f>E145-E136+E137</x:f>
        <x:v>12221.277083333334</x:v>
      </x:c>
      <x:c r="F146" s="114" t="n">
        <x:f>F145-F136+F137</x:f>
        <x:v>11655.164177083334</x:v>
      </x:c>
      <x:c r="G146" s="114" t="n">
        <x:f>G145-G136+G137</x:f>
        <x:v>10412.442964427084</x:v>
      </x:c>
      <x:c r="H146" s="114" t="n">
        <x:f>H145-H136+H137</x:f>
        <x:v>9956.550069960678</x:v>
      </x:c>
      <x:c r="I146" s="114" t="n">
        <x:f>I145-I136+I137</x:f>
        <x:v>9507.495568911268</x:v>
      </x:c>
      <x:c r="J146" s="114" t="n">
        <x:f>J145-J136+J137</x:f>
        <x:v>9065.176885377598</x:v>
      </x:c>
      <x:c r="K146" s="114" t="n">
        <x:f>K145-K136+K137</x:f>
        <x:v>8629.492982096934</x:v>
      </x:c>
      <x:c r="L146" s="114" t="n">
        <x:f>L145-L136+L137</x:f>
        <x:v>20700.34433736548</x:v>
      </x:c>
      <x:c r="M146" s="114" t="n">
        <x:f>M145-M136+M137</x:f>
        <x:v>7777.632922304997</x:v>
      </x:c>
      <x:c r="N146" s="114" t="n">
        <x:f>N145-N136+N137</x:f>
        <x:v>7583.333333333334</x:v>
      </x:c>
      <x:c r="O146" s="114" t="n">
        <x:f>O145-O136+O137</x:f>
        <x:v>7583.333333333334</x:v>
      </x:c>
      <x:c r="P146" s="114" t="n">
        <x:f>P145-P136+P137</x:f>
        <x:v>7583.333333333334</x:v>
      </x:c>
      <x:c r="Q146" s="114" t="n">
        <x:f>Q145-Q136+Q137</x:f>
        <x:v>7583.333333333334</x:v>
      </x:c>
      <x:c r="R146" s="114" t="n">
        <x:f>R145-R136+R137</x:f>
        <x:v>32583.333333333336</x:v>
      </x:c>
      <x:c r="S146" s="114" t="n">
        <x:f>S145-S136+S137</x:f>
        <x:v>7583.333333333334</x:v>
      </x:c>
      <x:c r="T146" s="114" t="n">
        <x:f>T145-T136+T137</x:f>
        <x:v>7583.333333333334</x:v>
      </x:c>
      <x:c r="U146" s="114" t="n">
        <x:f>U145-U136+U137</x:f>
        <x:v>7583.333333333334</x:v>
      </x:c>
      <x:c r="V146" s="114" t="n">
        <x:f>V145-V136+V137</x:f>
        <x:v>7583.333333333334</x:v>
      </x:c>
      <x:c r="W146" s="114" t="n">
        <x:f>W145-W136+W137</x:f>
        <x:v>7583.333333333334</x:v>
      </x:c>
      <x:c r="X146" s="114" t="n">
        <x:f>X145-X136+X137</x:f>
        <x:v>7583.333333333334</x:v>
      </x:c>
      <x:c r="Y146" s="114" t="n">
        <x:f>Y145-Y136+Y137</x:f>
        <x:v>7583.333333333334</x:v>
      </x:c>
      <x:c r="Z146" s="114" t="n">
        <x:f>Z145-Z136+Z137</x:f>
        <x:v>7583.333333333334</x:v>
      </x:c>
      <x:c r="AA146" s="114" t="n">
        <x:f>AA145-AA136+AA137</x:f>
        <x:v>7583.333333333334</x:v>
      </x:c>
      <x:c r="AB146" s="114" t="n">
        <x:f>AB145-AB136+AB137</x:f>
        <x:v>7583.333333333334</x:v>
      </x:c>
      <x:c r="AC146" s="114" t="n">
        <x:f>AC145-AC136+AC137</x:f>
        <x:v>7583.333333333334</x:v>
      </x:c>
      <x:c r="AD146" s="114" t="n">
        <x:f>AD145-AD136+AD137</x:f>
        <x:v>7583.333333333334</x:v>
      </x:c>
      <x:c r="AE146" s="114" t="n">
        <x:f>AE145-AE136+AE137</x:f>
        <x:v>7583.333333333334</x:v>
      </x:c>
      <x:c r="AF146" s="114" t="n">
        <x:f>AF145-AF136+AF137</x:f>
        <x:v>7583.333333333334</x:v>
      </x:c>
      <x:c r="AG146" s="114" t="n">
        <x:f>AG145-AG136+AG137</x:f>
        <x:v>7583.333333333334</x:v>
      </x:c>
      <x:c r="AH146" s="114" t="n">
        <x:f>AH145-AH136+AH137</x:f>
        <x:v>7583.333333333334</x:v>
      </x:c>
      <x:c r="AI146" s="114" t="n">
        <x:f>AI145-AI136+AI137</x:f>
        <x:v>7583.333333333334</x:v>
      </x:c>
      <x:c r="AJ146" s="114" t="n">
        <x:f>AJ145-AJ136+AJ137</x:f>
        <x:v>7583.333333333334</x:v>
      </x:c>
      <x:c r="AK146" s="114" t="n">
        <x:f>AK145-AK136+AK137</x:f>
        <x:v>7583.333333333334</x:v>
      </x:c>
      <x:c r="AL146" s="114" t="n">
        <x:f>AL145-AL136+AL137</x:f>
        <x:v>7583.333333333334</x:v>
      </x:c>
    </x:row>
    <x:row r="147">
      <x:c r="A147" s="84" t="str">
        <x:v>Cash operating profit / (loss)</x:v>
      </x:c>
      <x:c r="B147" s="84" t="str">
        <x:v>$</x:v>
      </x:c>
      <x:c r="C147" s="114" t="n">
        <x:f>C131-C145</x:f>
        <x:v>-6886.5234375</x:v>
      </x:c>
      <x:c r="D147" s="114" t="n">
        <x:f>D131-D145</x:f>
        <x:v>-167.171875</x:v>
      </x:c>
      <x:c r="E147" s="114" t="n">
        <x:f>E131-E145</x:f>
        <x:v>431.5557617187501</x:v>
      </x:c>
      <x:c r="F147" s="114" t="n">
        <x:f>F131-F145</x:f>
        <x:v>1798.2556088867186</x:v>
      </x:c>
      <x:c r="G147" s="114" t="n">
        <x:f>G131-G145</x:f>
        <x:v>4150.609255222169</x:v>
      </x:c>
      <x:c r="H147" s="114" t="n">
        <x:f>H131-H145</x:f>
        <x:v>5339.667167175085</x:v>
      </x:c>
      <x:c r="I147" s="114" t="n">
        <x:f>I131-I145</x:f>
        <x:v>6510.889210448708</x:v>
      </x:c>
      <x:c r="J147" s="114" t="n">
        <x:f>J131-J145</x:f>
        <x:v>7664.54292307323</x:v>
      </x:c>
      <x:c r="K147" s="114" t="n">
        <x:f>K131-K145</x:f>
        <x:v>8800.891830008379</x:v>
      </x:c>
      <x:c r="L147" s="114" t="n">
        <x:f>L131-L145</x:f>
        <x:v>-2579.804496660494</x:v>
      </x:c>
      <x:c r="M147" s="114" t="n">
        <x:f>M131-M145</x:f>
        <x:v>11022.709621570662</x:v>
      </x:c>
      <x:c r="N147" s="114" t="n">
        <x:f>N131-N145</x:f>
        <x:v>11886.61487316544</x:v>
      </x:c>
      <x:c r="O147" s="114" t="n">
        <x:f>O131-O145</x:f>
        <x:v>9970.278013349209</x:v>
      </x:c>
      <x:c r="P147" s="114" t="n">
        <x:f>P131-P145</x:f>
        <x:v>11349.297729867722</x:v>
      </x:c>
      <x:c r="Q147" s="114" t="n">
        <x:f>Q131-Q145</x:f>
        <x:v>13074.465751776235</x:v>
      </x:c>
      <x:c r="R147" s="114" t="n">
        <x:f>R131-R145</x:f>
        <x:v>-10783.242250125411</x:v>
      </x:c>
      <x:c r="S147" s="114" t="n">
        <x:f>S131-S145</x:f>
        <x:v>15341.915368001472</x:v>
      </x:c>
      <x:c r="T147" s="114" t="n">
        <x:f>T131-T145</x:f>
        <x:v>16450.195621856452</x:v>
      </x:c>
      <x:c r="U147" s="114" t="n">
        <x:f>U131-U145</x:f>
        <x:v>17923.140734403605</x:v>
      </x:c>
      <x:c r="V147" s="114" t="n">
        <x:f>V131-V145</x:f>
        <x:v>19730.961006200054</x:v>
      </x:c>
      <x:c r="W147" s="114" t="n">
        <x:f>W131-W145</x:f>
        <x:v>21111.5257903258</x:v>
      </x:c>
      <x:c r="X147" s="114" t="n">
        <x:f>X131-X145</x:f>
        <x:v>22471.382102689655</x:v>
      </x:c>
      <x:c r="Y147" s="114" t="n">
        <x:f>Y131-Y145</x:f>
        <x:v>23810.84057036807</x:v>
      </x:c>
      <x:c r="Z147" s="114" t="n">
        <x:f>Z131-Z145</x:f>
        <x:v>25130.207161031292</x:v>
      </x:c>
      <x:c r="AA147" s="114" t="n">
        <x:f>AA131-AA145</x:f>
        <x:v>26605.36338348691</x:v>
      </x:c>
      <x:c r="AB147" s="114" t="n">
        <x:f>AB131-AB145</x:f>
        <x:v>28271.758030390847</x:v>
      </x:c>
      <x:c r="AC147" s="114" t="n">
        <x:f>AC131-AC145</x:f>
        <x:v>29648.581073997484</x:v>
      </x:c>
      <x:c r="AD147" s="114" t="n">
        <x:f>AD131-AD145</x:f>
        <x:v>31004.751771950032</x:v>
      </x:c>
      <x:c r="AE147" s="114" t="n">
        <x:f>AE131-AE145</x:f>
        <x:v>32340.579909433283</x:v>
      </x:c>
      <x:c r="AF147" s="114" t="n">
        <x:f>AF131-AF145</x:f>
        <x:v>33656.37062485429</x:v>
      </x:c>
      <x:c r="AG147" s="114" t="n">
        <x:f>AG131-AG145</x:f>
        <x:v>34952.424479543966</x:v>
      </x:c>
      <x:c r="AH147" s="114" t="n">
        <x:f>AH131-AH145</x:f>
        <x:v>36229.0375264133</x:v>
      </x:c>
      <x:c r="AI147" s="114" t="n">
        <x:f>AI131-AI145</x:f>
        <x:v>37486.5013775796</x:v>
      </x:c>
      <x:c r="AJ147" s="114" t="n">
        <x:f>AJ131-AJ145</x:f>
        <x:v>38725.10327097842</x:v>
      </x:c>
      <x:c r="AK147" s="114" t="n">
        <x:f>AK131-AK145</x:f>
        <x:v>39945.12613597623</x:v>
      </x:c>
      <x:c r="AL147" s="114" t="n">
        <x:f>AL131-AL145</x:f>
        <x:v>41146.8486579991</x:v>
      </x:c>
    </x:row>
    <x:row r="148">
      <x:c r="A148" s="84" t="str">
        <x:v>Normalized operating profit / (loss)</x:v>
      </x:c>
      <x:c r="B148" s="84" t="str">
        <x:v>$</x:v>
      </x:c>
      <x:c r="C148" s="114" t="n">
        <x:f>C133-C146</x:f>
        <x:v>-17719.856770833336</x:v>
      </x:c>
      <x:c r="D148" s="114" t="n">
        <x:f>D133-D146</x:f>
        <x:v>-11000.505208333334</x:v>
      </x:c>
      <x:c r="E148" s="114" t="n">
        <x:f>E133-E146</x:f>
        <x:v>-10401.777571614584</x:v>
      </x:c>
      <x:c r="F148" s="114" t="n">
        <x:f>F133-F146</x:f>
        <x:v>-9035.077724446615</x:v>
      </x:c>
      <x:c r="G148" s="114" t="n">
        <x:f>G133-G146</x:f>
        <x:v>-6682.724078111165</x:v>
      </x:c>
      <x:c r="H148" s="114" t="n">
        <x:f>H133-H146</x:f>
        <x:v>-5493.66616615825</x:v>
      </x:c>
      <x:c r="I148" s="114" t="n">
        <x:f>I133-I146</x:f>
        <x:v>-4322.444122884626</x:v>
      </x:c>
      <x:c r="J148" s="114" t="n">
        <x:f>J133-J146</x:f>
        <x:v>-3168.790410260104</x:v>
      </x:c>
      <x:c r="K148" s="114" t="n">
        <x:f>K133-K146</x:f>
        <x:v>-2032.4415033249543</x:v>
      </x:c>
      <x:c r="L148" s="114" t="n">
        <x:f>L133-L146</x:f>
        <x:v>-13413.137829993826</x:v>
      </x:c>
      <x:c r="M148" s="114" t="n">
        <x:f>M133-M146</x:f>
        <x:v>189.37628823732848</x:v>
      </x:c>
      <x:c r="N148" s="114" t="n">
        <x:f>N133-N146</x:f>
        <x:v>1053.2815398321054</x:v>
      </x:c>
      <x:c r="O148" s="114" t="n">
        <x:f>O133-O146</x:f>
        <x:v>2136.944680015875</x:v>
      </x:c>
      <x:c r="P148" s="114" t="n">
        <x:f>P133-P146</x:f>
        <x:v>3515.9643965343894</x:v>
      </x:c>
      <x:c r="Q148" s="114" t="n">
        <x:f>Q133-Q146</x:f>
        <x:v>5241.132418442901</x:v>
      </x:c>
      <x:c r="R148" s="114" t="n">
        <x:f>R133-R146</x:f>
        <x:v>-18616.575583458747</x:v>
      </x:c>
      <x:c r="S148" s="114" t="n">
        <x:f>S133-S146</x:f>
        <x:v>7508.582034668138</x:v>
      </x:c>
      <x:c r="T148" s="114" t="n">
        <x:f>T133-T146</x:f>
        <x:v>8616.862288523116</x:v>
      </x:c>
      <x:c r="U148" s="114" t="n">
        <x:f>U133-U146</x:f>
        <x:v>10089.807401070271</x:v>
      </x:c>
      <x:c r="V148" s="114" t="n">
        <x:f>V133-V146</x:f>
        <x:v>11897.62767286672</x:v>
      </x:c>
      <x:c r="W148" s="114" t="n">
        <x:f>W133-W146</x:f>
        <x:v>13278.192456992465</x:v>
      </x:c>
      <x:c r="X148" s="114" t="n">
        <x:f>X133-X146</x:f>
        <x:v>14638.048769356321</x:v>
      </x:c>
      <x:c r="Y148" s="114" t="n">
        <x:f>Y133-Y146</x:f>
        <x:v>15977.507237034735</x:v>
      </x:c>
      <x:c r="Z148" s="114" t="n">
        <x:f>Z133-Z146</x:f>
        <x:v>17296.873827697957</x:v>
      </x:c>
      <x:c r="AA148" s="114" t="n">
        <x:f>AA133-AA146</x:f>
        <x:v>18772.030050153575</x:v>
      </x:c>
      <x:c r="AB148" s="114" t="n">
        <x:f>AB133-AB146</x:f>
        <x:v>20438.42469705751</x:v>
      </x:c>
      <x:c r="AC148" s="114" t="n">
        <x:f>AC133-AC146</x:f>
        <x:v>21815.247740664156</x:v>
      </x:c>
      <x:c r="AD148" s="114" t="n">
        <x:f>AD133-AD146</x:f>
        <x:v>23171.418438616703</x:v>
      </x:c>
      <x:c r="AE148" s="114" t="n">
        <x:f>AE133-AE146</x:f>
        <x:v>24507.246576099948</x:v>
      </x:c>
      <x:c r="AF148" s="114" t="n">
        <x:f>AF133-AF146</x:f>
        <x:v>25823.037291520952</x:v>
      </x:c>
      <x:c r="AG148" s="114" t="n">
        <x:f>AG133-AG146</x:f>
        <x:v>27119.09114621063</x:v>
      </x:c>
      <x:c r="AH148" s="114" t="n">
        <x:f>AH133-AH146</x:f>
        <x:v>28395.704193079968</x:v>
      </x:c>
      <x:c r="AI148" s="114" t="n">
        <x:f>AI133-AI146</x:f>
        <x:v>29653.168044246268</x:v>
      </x:c>
      <x:c r="AJ148" s="114" t="n">
        <x:f>AJ133-AJ146</x:f>
        <x:v>30891.769937645084</x:v>
      </x:c>
      <x:c r="AK148" s="114" t="n">
        <x:f>AK133-AK146</x:f>
        <x:v>32111.792802642893</x:v>
      </x:c>
      <x:c r="AL148" s="114" t="n">
        <x:f>AL133-AL146</x:f>
        <x:v>33313.515324665765</x:v>
      </x:c>
    </x:row>
    <x:row r="149">
      <x:c r="A149" s="63" t="str">
        <x:v>CASH + FUNDING</x:v>
      </x:c>
      <x:c r="B149" s="63" t="str"/>
      <x:c r="C149" s="112"/>
      <x:c r="D149" s="112"/>
      <x:c r="E149" s="112"/>
      <x:c r="F149" s="112"/>
      <x:c r="G149" s="112"/>
      <x:c r="H149" s="112"/>
      <x:c r="I149" s="112"/>
      <x:c r="J149" s="112"/>
      <x:c r="K149" s="112"/>
      <x:c r="L149" s="112"/>
      <x:c r="M149" s="112"/>
      <x:c r="N149" s="112"/>
      <x:c r="O149" s="112"/>
      <x:c r="P149" s="112"/>
      <x:c r="Q149" s="112"/>
      <x:c r="R149" s="112"/>
      <x:c r="S149" s="112"/>
      <x:c r="T149" s="112"/>
      <x:c r="U149" s="112"/>
      <x:c r="V149" s="112"/>
      <x:c r="W149" s="112"/>
      <x:c r="X149" s="112"/>
      <x:c r="Y149" s="112"/>
      <x:c r="Z149" s="112"/>
      <x:c r="AA149" s="112"/>
      <x:c r="AB149" s="112"/>
      <x:c r="AC149" s="112"/>
      <x:c r="AD149" s="112"/>
      <x:c r="AE149" s="112"/>
      <x:c r="AF149" s="112"/>
      <x:c r="AG149" s="112"/>
      <x:c r="AH149" s="112"/>
      <x:c r="AI149" s="112"/>
      <x:c r="AJ149" s="112"/>
      <x:c r="AK149" s="112"/>
      <x:c r="AL149" s="112"/>
    </x:row>
    <x:row r="150">
      <x:c r="A150" s="84" t="str">
        <x:v>Revenue cash receipts</x:v>
      </x:c>
      <x:c r="B150" s="84" t="str">
        <x:v>$</x:v>
      </x:c>
      <x:c r="C150" s="114" t="n">
        <x:f>C108*'Scenarios'!$D$59</x:f>
        <x:v>1328.515625</x:v>
      </x:c>
      <x:c r="D150" s="114" t="n">
        <x:f>D108*'Scenarios'!$D$59+C108*(1-'Scenarios'!$D$59)</x:f>
        <x:v>3073.703125</x:v>
      </x:c>
      <x:c r="E150" s="114" t="n">
        <x:f>E108*'Scenarios'!$D$59+D108*(1-'Scenarios'!$D$59)</x:f>
        <x:v>3766.9544921875</x:v>
      </x:c>
      <x:c r="F150" s="114" t="n">
        <x:f>F108*'Scenarios'!$D$59+E108*(1-'Scenarios'!$D$59)</x:f>
        <x:v>5151.835331054688</x:v>
      </x:c>
      <x:c r="G150" s="114" t="n">
        <x:f>G108*'Scenarios'!$D$59+F108*(1-'Scenarios'!$D$59)</x:f>
        <x:v>7536.142176088868</x:v>
      </x:c>
      <x:c r="H150" s="114" t="n">
        <x:f>H108*'Scenarios'!$D$59+G108*(1-'Scenarios'!$D$59)</x:f>
        <x:v>8859.556527822533</x:v>
      </x:c>
      <x:c r="I150" s="114" t="n">
        <x:f>I108*'Scenarios'!$D$59+H108*(1-'Scenarios'!$D$59)</x:f>
        <x:v>10106.449898655195</x:v>
      </x:c>
      <x:c r="J150" s="114" t="n">
        <x:f>J108*'Scenarios'!$D$59+I108*(1-'Scenarios'!$D$59)</x:f>
        <x:v>11334.639868925367</x:v>
      </x:c>
      <x:c r="K150" s="114" t="n">
        <x:f>K108*'Scenarios'!$D$59+J108*(1-'Scenarios'!$D$59)</x:f>
        <x:v>12544.406989641486</x:v>
      </x:c>
      <x:c r="L150" s="114" t="n">
        <x:f>L108*'Scenarios'!$D$59+K108*(1-'Scenarios'!$D$59)</x:f>
        <x:v>13736.027603546869</x:v>
      </x:c>
      <x:c r="M150" s="114" t="n">
        <x:f>M108*'Scenarios'!$D$59+L108*(1-'Scenarios'!$D$59)</x:f>
        <x:v>14909.773908243664</x:v>
      </x:c>
      <x:c r="N150" s="114" t="n">
        <x:f>N108*'Scenarios'!$D$59+M108*(1-'Scenarios'!$D$59)</x:f>
        <x:v>16065.914018370006</x:v>
      </x:c>
      <x:c r="O150" s="114" t="n">
        <x:f>O108*'Scenarios'!$D$59+N108*(1-'Scenarios'!$D$59)</x:f>
        <x:v>17939.477651844456</x:v>
      </x:c>
      <x:c r="P150" s="114" t="n">
        <x:f>P108*'Scenarios'!$D$59+O108*(1-'Scenarios'!$D$59)</x:f>
        <x:v>20775.131190191794</x:v>
      </x:c>
      <x:c r="Q150" s="114" t="n">
        <x:f>Q108*'Scenarios'!$D$59+P108*(1-'Scenarios'!$D$59)</x:f>
        <x:v>22573.272855151412</x:v>
      </x:c>
      <x:c r="R150" s="114" t="n">
        <x:f>R108*'Scenarios'!$D$59+Q108*(1-'Scenarios'!$D$59)</x:f>
        <x:v>24289.43938732414</x:v>
      </x:c>
      <x:c r="S150" s="114" t="n">
        <x:f>S108*'Scenarios'!$D$59+R108*(1-'Scenarios'!$D$59)</x:f>
        <x:v>25979.863421514277</x:v>
      </x:c>
      <x:c r="T150" s="114" t="n">
        <x:f>T108*'Scenarios'!$D$59+S108*(1-'Scenarios'!$D$59)</x:f>
        <x:v>27644.93109519156</x:v>
      </x:c>
      <x:c r="U150" s="114" t="n">
        <x:f>U108*'Scenarios'!$D$59+T108*(1-'Scenarios'!$D$59)</x:f>
        <x:v>29841.663378763693</x:v>
      </x:c>
      <x:c r="V150" s="114" t="n">
        <x:f>V108*'Scenarios'!$D$59+U108*(1-'Scenarios'!$D$59)</x:f>
        <x:v>32755.59116245724</x:v>
      </x:c>
      <x:c r="W150" s="114" t="n">
        <x:f>W108*'Scenarios'!$D$59+V108*(1-'Scenarios'!$D$59)</x:f>
        <x:v>34872.039521582876</x:v>
      </x:c>
      <x:c r="X150" s="114" t="n">
        <x:f>X108*'Scenarios'!$D$59+W108*(1-'Scenarios'!$D$59)</x:f>
        <x:v>36915.07221000913</x:v>
      </x:c>
      <x:c r="Y150" s="114" t="n">
        <x:f>Y108*'Scenarios'!$D$59+X108*(1-'Scenarios'!$D$59)</x:f>
        <x:v>38927.459408108996</x:v>
      </x:c>
      <x:c r="Z150" s="114" t="n">
        <x:f>Z108*'Scenarios'!$D$59+Y108*(1-'Scenarios'!$D$59)</x:f>
        <x:v>40909.66079823736</x:v>
      </x:c>
      <x:c r="AA150" s="114" t="n">
        <x:f>AA108*'Scenarios'!$D$59+Z108*(1-'Scenarios'!$D$59)</x:f>
        <x:v>43418.7697925138</x:v>
      </x:c>
      <x:c r="AB150" s="114" t="n">
        <x:f>AB108*'Scenarios'!$D$59+AA108*(1-'Scenarios'!$D$59)</x:f>
        <x:v>46640.38863625108</x:v>
      </x:c>
      <x:c r="AC150" s="114" t="n">
        <x:f>AC108*'Scenarios'!$D$59+AB108*(1-'Scenarios'!$D$59)</x:f>
        <x:v>49059.91268951981</x:v>
      </x:c>
      <x:c r="AD150" s="114" t="n">
        <x:f>AD108*'Scenarios'!$D$59+AC108*(1-'Scenarios'!$D$59)</x:f>
        <x:v>51401.47493667703</x:v>
      </x:c>
      <x:c r="AE150" s="114" t="n">
        <x:f>AE108*'Scenarios'!$D$59+AD108*(1-'Scenarios'!$D$59)</x:f>
        <x:v>53707.91375012688</x:v>
      </x:c>
      <x:c r="AF150" s="114" t="n">
        <x:f>AF108*'Scenarios'!$D$59+AE108*(1-'Scenarios'!$D$59)</x:f>
        <x:v>55979.75598137497</x:v>
      </x:c>
      <x:c r="AG150" s="114" t="n">
        <x:f>AG108*'Scenarios'!$D$59+AF108*(1-'Scenarios'!$D$59)</x:f>
        <x:v>58217.52057915435</x:v>
      </x:c>
      <x:c r="AH150" s="114" t="n">
        <x:f>AH108*'Scenarios'!$D$59+AG108*(1-'Scenarios'!$D$59)</x:f>
        <x:v>60421.71870796703</x:v>
      </x:c>
      <x:c r="AI150" s="114" t="n">
        <x:f>AI108*'Scenarios'!$D$59+AH108*(1-'Scenarios'!$D$59)</x:f>
        <x:v>62592.85386484752</x:v>
      </x:c>
      <x:c r="AJ150" s="114" t="n">
        <x:f>AJ108*'Scenarios'!$D$59+AI108*(1-'Scenarios'!$D$59)</x:f>
        <x:v>64731.42199437482</x:v>
      </x:c>
      <x:c r="AK150" s="114" t="n">
        <x:f>AK108*'Scenarios'!$D$59+AJ108*(1-'Scenarios'!$D$59)</x:f>
        <x:v>66837.91160195919</x:v>
      </x:c>
      <x:c r="AL150" s="114" t="n">
        <x:f>AL108*'Scenarios'!$D$59+AK108*(1-'Scenarios'!$D$59)</x:f>
        <x:v>68912.80386542981</x:v>
      </x:c>
    </x:row>
    <x:row r="151">
      <x:c r="A151" s="84" t="str">
        <x:v>Cash disbursements</x:v>
      </x:c>
      <x:c r="B151" s="84" t="str">
        <x:v>$</x:v>
      </x:c>
      <x:c r="C151" s="114" t="n">
        <x:f>C129+C145</x:f>
        <x:v>8284.9609375</x:v>
      </x:c>
      <x:c r="D151" s="114" t="n">
        <x:f>D129+D145</x:f>
        <x:v>3329.046875</x:v>
      </x:c>
      <x:c r="E151" s="114" t="n">
        <x:f>E129+E145</x:f>
        <x:v>3367.24501953125</x:v>
      </x:c>
      <x:c r="F151" s="114" t="n">
        <x:f>F129+F145</x:f>
        <x:v>3424.792066894531</x:v>
      </x:c>
      <x:c r="G151" s="114" t="n">
        <x:f>G129+G145</x:f>
        <x:v>3507.2747366723634</x:v>
      </x:c>
      <x:c r="H151" s="114" t="n">
        <x:f>H129+H145</x:f>
        <x:v>3583.135283591028</x:v>
      </x:c>
      <x:c r="I151" s="114" t="n">
        <x:f>I129+I145</x:f>
        <x:v>3657.8579223059123</x:v>
      </x:c>
      <x:c r="J151" s="114" t="n">
        <x:f>J129+J145</x:f>
        <x:v>3731.4597214400737</x:v>
      </x:c>
      <x:c r="K151" s="114" t="n">
        <x:f>K129+K145</x:f>
        <x:v>3803.9574935872224</x:v>
      </x:c>
      <x:c r="L151" s="114" t="n">
        <x:f>L129+L145</x:f>
        <x:v>16375.367799152165</x:v>
      </x:c>
      <x:c r="M151" s="114" t="n">
        <x:f>M129+M145</x:f>
        <x:v>3945.706950133632</x:v>
      </x:c>
      <x:c r="N151" s="114" t="n">
        <x:f>N129+N145</x:f>
        <x:v>4237.062168713288</x:v>
      </x:c>
      <x:c r="O151" s="114" t="n">
        <x:f>O129+O145</x:f>
        <x:v>8064.768091651338</x:v>
      </x:c>
      <x:c r="P151" s="114" t="n">
        <x:f>P129+P145</x:f>
        <x:v>9570.048464807818</x:v>
      </x:c>
      <x:c r="Q151" s="114" t="n">
        <x:f>Q129+Q145</x:f>
        <x:v>9585.85587497917</x:v>
      </x:c>
      <x:c r="R151" s="114" t="n">
        <x:f>R129+R145</x:f>
        <x:v>35158.42467747948</x:v>
      </x:c>
      <x:c r="S151" s="114" t="n">
        <x:f>S129+S145</x:f>
        <x:v>10722.40494794229</x:v>
      </x:c>
      <x:c r="T151" s="114" t="n">
        <x:f>T129+T145</x:f>
        <x:v>11277.925514348155</x:v>
      </x:c>
      <x:c r="U151" s="114" t="n">
        <x:f>U129+U145</x:f>
        <x:v>12029.761709757933</x:v>
      </x:c>
      <x:c r="V151" s="114" t="n">
        <x:f>V129+V145</x:f>
        <x:v>13172.140088799064</x:v>
      </x:c>
      <x:c r="W151" s="114" t="n">
        <x:f>W129+W145</x:f>
        <x:v>13864.142069498328</x:v>
      </x:c>
      <x:c r="X151" s="114" t="n">
        <x:f>X129+X145</x:f>
        <x:v>14545.764020487104</x:v>
      </x:c>
      <x:c r="Y151" s="114" t="n">
        <x:f>Y129+Y145</x:f>
        <x:v>15217.161642211044</x:v>
      </x:c>
      <x:c r="Z151" s="114" t="n">
        <x:f>Z129+Z145</x:f>
        <x:v>15878.488299609133</x:v>
      </x:c>
      <x:c r="AA151" s="114" t="n">
        <x:f>AA129+AA145</x:f>
        <x:v>16940.25242649391</x:v>
      </x:c>
      <x:c r="AB151" s="114" t="n">
        <x:f>AB129+AB145</x:f>
        <x:v>18531.51338619025</x:v>
      </x:c>
      <x:c r="AC151" s="114" t="n">
        <x:f>AC129+AC145</x:f>
        <x:v>19530.102208834895</x:v>
      </x:c>
      <x:c r="AD151" s="114" t="n">
        <x:f>AD129+AD145</x:f>
        <x:v>20513.71219913987</x:v>
      </x:c>
      <x:c r="AE151" s="114" t="n">
        <x:f>AE129+AE145</x:f>
        <x:v>21482.568039590275</x:v>
      </x:c>
      <x:c r="AF151" s="114" t="n">
        <x:f>AF129+AF145</x:f>
        <x:v>22436.891042433923</x:v>
      </x:c>
      <x:c r="AG151" s="114" t="n">
        <x:f>AG129+AG145</x:f>
        <x:v>23376.89920023491</x:v>
      </x:c>
      <x:c r="AH151" s="114" t="n">
        <x:f>AH129+AH145</x:f>
        <x:v>24302.807235668894</x:v>
      </x:c>
      <x:c r="AI151" s="114" t="n">
        <x:f>AI129+AI145</x:f>
        <x:v>25214.826650571362</x:v>
      </x:c>
      <x:c r="AJ151" s="114" t="n">
        <x:f>AJ129+AJ145</x:f>
        <x:v>26113.16577425029</x:v>
      </x:c>
      <x:c r="AK151" s="114" t="n">
        <x:f>AK129+AK145</x:f>
        <x:v>26998.02981107404</x:v>
      </x:c>
      <x:c r="AL151" s="114" t="n">
        <x:f>AL129+AL145</x:f>
        <x:v>27869.620887345427</x:v>
      </x:c>
    </x:row>
    <x:row r="152">
      <x:c r="A152" s="84" t="str">
        <x:v>Operating cash surplus / (deficit)</x:v>
      </x:c>
      <x:c r="B152" s="84" t="str">
        <x:v>$</x:v>
      </x:c>
      <x:c r="C152" s="114" t="n">
        <x:f>C150-C151</x:f>
        <x:v>-6956.4453125</x:v>
      </x:c>
      <x:c r="D152" s="114" t="n">
        <x:f>D150-D151</x:f>
        <x:v>-255.34375</x:v>
      </x:c>
      <x:c r="E152" s="114" t="n">
        <x:f>E150-E151</x:f>
        <x:v>399.70947265625</x:v>
      </x:c>
      <x:c r="F152" s="114" t="n">
        <x:f>F150-F151</x:f>
        <x:v>1727.043264160157</x:v>
      </x:c>
      <x:c r="G152" s="114" t="n">
        <x:f>G150-G151</x:f>
        <x:v>4028.8674394165046</x:v>
      </x:c>
      <x:c r="H152" s="114" t="n">
        <x:f>H150-H151</x:f>
        <x:v>5276.421244231506</x:v>
      </x:c>
      <x:c r="I152" s="114" t="n">
        <x:f>I150-I151</x:f>
        <x:v>6448.591976349283</x:v>
      </x:c>
      <x:c r="J152" s="114" t="n">
        <x:f>J150-J151</x:f>
        <x:v>7603.180147485294</x:v>
      </x:c>
      <x:c r="K152" s="114" t="n">
        <x:f>K150-K151</x:f>
        <x:v>8740.449496054263</x:v>
      </x:c>
      <x:c r="L152" s="114" t="n">
        <x:f>L150-L151</x:f>
        <x:v>-2639.3401956052967</x:v>
      </x:c>
      <x:c r="M152" s="114" t="n">
        <x:f>M150-M151</x:f>
        <x:v>10964.066958110032</x:v>
      </x:c>
      <x:c r="N152" s="114" t="n">
        <x:f>N150-N151</x:f>
        <x:v>11828.851849656718</x:v>
      </x:c>
      <x:c r="O152" s="114" t="n">
        <x:f>O150-O151</x:f>
        <x:v>9874.709560193118</x:v>
      </x:c>
      <x:c r="P152" s="114" t="n">
        <x:f>P150-P151</x:f>
        <x:v>11205.082725383976</x:v>
      </x:c>
      <x:c r="Q152" s="114" t="n">
        <x:f>Q150-Q151</x:f>
        <x:v>12987.416980172242</x:v>
      </x:c>
      <x:c r="R152" s="114" t="n">
        <x:f>R150-R151</x:f>
        <x:v>-10868.985290155342</x:v>
      </x:c>
      <x:c r="S152" s="114" t="n">
        <x:f>S150-S151</x:f>
        <x:v>15257.458473571987</x:v>
      </x:c>
      <x:c r="T152" s="114" t="n">
        <x:f>T150-T151</x:f>
        <x:v>16367.005580843406</x:v>
      </x:c>
      <x:c r="U152" s="114" t="n">
        <x:f>U150-U151</x:f>
        <x:v>17811.90166900576</x:v>
      </x:c>
      <x:c r="V152" s="114" t="n">
        <x:f>V150-V151</x:f>
        <x:v>19583.451073658176</x:v>
      </x:c>
      <x:c r="W152" s="114" t="n">
        <x:f>W150-W151</x:f>
        <x:v>21007.897452084548</x:v>
      </x:c>
      <x:c r="X152" s="114" t="n">
        <x:f>X150-X151</x:f>
        <x:v>22369.308189522024</x:v>
      </x:c>
      <x:c r="Y152" s="114" t="n">
        <x:f>Y150-Y151</x:f>
        <x:v>23710.29776589795</x:v>
      </x:c>
      <x:c r="Z152" s="114" t="n">
        <x:f>Z150-Z151</x:f>
        <x:v>25031.172498628228</x:v>
      </x:c>
      <x:c r="AA152" s="114" t="n">
        <x:f>AA150-AA151</x:f>
        <x:v>26478.51736601989</x:v>
      </x:c>
      <x:c r="AB152" s="114" t="n">
        <x:f>AB150-AB151</x:f>
        <x:v>28108.87525006083</x:v>
      </x:c>
      <x:c r="AC152" s="114" t="n">
        <x:f>AC150-AC151</x:f>
        <x:v>29529.81048068492</x:v>
      </x:c>
      <x:c r="AD152" s="114" t="n">
        <x:f>AD150-AD151</x:f>
        <x:v>30887.762737537156</x:v>
      </x:c>
      <x:c r="AE152" s="114" t="n">
        <x:f>AE150-AE151</x:f>
        <x:v>32225.345710536603</x:v>
      </x:c>
      <x:c r="AF152" s="114" t="n">
        <x:f>AF150-AF151</x:f>
        <x:v>33542.86493894104</x:v>
      </x:c>
      <x:c r="AG152" s="114" t="n">
        <x:f>AG150-AG151</x:f>
        <x:v>34840.62137891944</x:v>
      </x:c>
      <x:c r="AH152" s="114" t="n">
        <x:f>AH150-AH151</x:f>
        <x:v>36118.91147229814</x:v>
      </x:c>
      <x:c r="AI152" s="114" t="n">
        <x:f>AI150-AI151</x:f>
        <x:v>37378.02721427616</x:v>
      </x:c>
      <x:c r="AJ152" s="114" t="n">
        <x:f>AJ150-AJ151</x:f>
        <x:v>38618.25622012453</x:v>
      </x:c>
      <x:c r="AK152" s="114" t="n">
        <x:f>AK150-AK151</x:f>
        <x:v>39839.88179088515</x:v>
      </x:c>
      <x:c r="AL152" s="114" t="n">
        <x:f>AL150-AL151</x:f>
        <x:v>41043.182978084384</x:v>
      </x:c>
    </x:row>
    <x:row r="153">
      <x:c r="A153" s="84" t="str">
        <x:v>Sponsor capital contribution</x:v>
      </x:c>
      <x:c r="B153" s="84" t="str">
        <x:v>$</x:v>
      </x:c>
      <x:c r="C153" s="114" t="n">
        <x:f>IF(C86=1,'Scenarios'!$D$60,0)+IF(C86='Scenarios'!$D$62,'Scenarios'!$D$61,0)+IF(C86='Scenarios'!$D$64,'Scenarios'!$D$63,0)</x:f>
        <x:v>5000</x:v>
      </x:c>
      <x:c r="D153" s="114" t="n">
        <x:f>IF(D86=1,'Scenarios'!$D$60,0)+IF(D86='Scenarios'!$D$62,'Scenarios'!$D$61,0)+IF(D86='Scenarios'!$D$64,'Scenarios'!$D$63,0)</x:f>
        <x:v>0</x:v>
      </x:c>
      <x:c r="E153" s="114" t="n">
        <x:f>IF(E86=1,'Scenarios'!$D$60,0)+IF(E86='Scenarios'!$D$62,'Scenarios'!$D$61,0)+IF(E86='Scenarios'!$D$64,'Scenarios'!$D$63,0)</x:f>
        <x:v>0</x:v>
      </x:c>
      <x:c r="F153" s="114" t="n">
        <x:f>IF(F86=1,'Scenarios'!$D$60,0)+IF(F86='Scenarios'!$D$62,'Scenarios'!$D$61,0)+IF(F86='Scenarios'!$D$64,'Scenarios'!$D$63,0)</x:f>
        <x:v>0</x:v>
      </x:c>
      <x:c r="G153" s="114" t="n">
        <x:f>IF(G86=1,'Scenarios'!$D$60,0)+IF(G86='Scenarios'!$D$62,'Scenarios'!$D$61,0)+IF(G86='Scenarios'!$D$64,'Scenarios'!$D$63,0)</x:f>
        <x:v>0</x:v>
      </x:c>
      <x:c r="H153" s="114" t="n">
        <x:f>IF(H86=1,'Scenarios'!$D$60,0)+IF(H86='Scenarios'!$D$62,'Scenarios'!$D$61,0)+IF(H86='Scenarios'!$D$64,'Scenarios'!$D$63,0)</x:f>
        <x:v>0</x:v>
      </x:c>
      <x:c r="I153" s="114" t="n">
        <x:f>IF(I86=1,'Scenarios'!$D$60,0)+IF(I86='Scenarios'!$D$62,'Scenarios'!$D$61,0)+IF(I86='Scenarios'!$D$64,'Scenarios'!$D$63,0)</x:f>
        <x:v>0</x:v>
      </x:c>
      <x:c r="J153" s="114" t="n">
        <x:f>IF(J86=1,'Scenarios'!$D$60,0)+IF(J86='Scenarios'!$D$62,'Scenarios'!$D$61,0)+IF(J86='Scenarios'!$D$64,'Scenarios'!$D$63,0)</x:f>
        <x:v>0</x:v>
      </x:c>
      <x:c r="K153" s="114" t="n">
        <x:f>IF(K86=1,'Scenarios'!$D$60,0)+IF(K86='Scenarios'!$D$62,'Scenarios'!$D$61,0)+IF(K86='Scenarios'!$D$64,'Scenarios'!$D$63,0)</x:f>
        <x:v>0</x:v>
      </x:c>
      <x:c r="L153" s="114" t="n">
        <x:f>IF(L86=1,'Scenarios'!$D$60,0)+IF(L86='Scenarios'!$D$62,'Scenarios'!$D$61,0)+IF(L86='Scenarios'!$D$64,'Scenarios'!$D$63,0)</x:f>
        <x:v>12500</x:v>
      </x:c>
      <x:c r="M153" s="114" t="n">
        <x:f>IF(M86=1,'Scenarios'!$D$60,0)+IF(M86='Scenarios'!$D$62,'Scenarios'!$D$61,0)+IF(M86='Scenarios'!$D$64,'Scenarios'!$D$63,0)</x:f>
        <x:v>0</x:v>
      </x:c>
      <x:c r="N153" s="114" t="n">
        <x:f>IF(N86=1,'Scenarios'!$D$60,0)+IF(N86='Scenarios'!$D$62,'Scenarios'!$D$61,0)+IF(N86='Scenarios'!$D$64,'Scenarios'!$D$63,0)</x:f>
        <x:v>0</x:v>
      </x:c>
      <x:c r="O153" s="114" t="n">
        <x:f>IF(O86=1,'Scenarios'!$D$60,0)+IF(O86='Scenarios'!$D$62,'Scenarios'!$D$61,0)+IF(O86='Scenarios'!$D$64,'Scenarios'!$D$63,0)</x:f>
        <x:v>0</x:v>
      </x:c>
      <x:c r="P153" s="114" t="n">
        <x:f>IF(P86=1,'Scenarios'!$D$60,0)+IF(P86='Scenarios'!$D$62,'Scenarios'!$D$61,0)+IF(P86='Scenarios'!$D$64,'Scenarios'!$D$63,0)</x:f>
        <x:v>0</x:v>
      </x:c>
      <x:c r="Q153" s="114" t="n">
        <x:f>IF(Q86=1,'Scenarios'!$D$60,0)+IF(Q86='Scenarios'!$D$62,'Scenarios'!$D$61,0)+IF(Q86='Scenarios'!$D$64,'Scenarios'!$D$63,0)</x:f>
        <x:v>0</x:v>
      </x:c>
      <x:c r="R153" s="114" t="n">
        <x:f>IF(R86=1,'Scenarios'!$D$60,0)+IF(R86='Scenarios'!$D$62,'Scenarios'!$D$61,0)+IF(R86='Scenarios'!$D$64,'Scenarios'!$D$63,0)</x:f>
        <x:v>25000</x:v>
      </x:c>
      <x:c r="S153" s="114" t="n">
        <x:f>IF(S86=1,'Scenarios'!$D$60,0)+IF(S86='Scenarios'!$D$62,'Scenarios'!$D$61,0)+IF(S86='Scenarios'!$D$64,'Scenarios'!$D$63,0)</x:f>
        <x:v>0</x:v>
      </x:c>
      <x:c r="T153" s="114" t="n">
        <x:f>IF(T86=1,'Scenarios'!$D$60,0)+IF(T86='Scenarios'!$D$62,'Scenarios'!$D$61,0)+IF(T86='Scenarios'!$D$64,'Scenarios'!$D$63,0)</x:f>
        <x:v>0</x:v>
      </x:c>
      <x:c r="U153" s="114" t="n">
        <x:f>IF(U86=1,'Scenarios'!$D$60,0)+IF(U86='Scenarios'!$D$62,'Scenarios'!$D$61,0)+IF(U86='Scenarios'!$D$64,'Scenarios'!$D$63,0)</x:f>
        <x:v>0</x:v>
      </x:c>
      <x:c r="V153" s="114" t="n">
        <x:f>IF(V86=1,'Scenarios'!$D$60,0)+IF(V86='Scenarios'!$D$62,'Scenarios'!$D$61,0)+IF(V86='Scenarios'!$D$64,'Scenarios'!$D$63,0)</x:f>
        <x:v>0</x:v>
      </x:c>
      <x:c r="W153" s="114" t="n">
        <x:f>IF(W86=1,'Scenarios'!$D$60,0)+IF(W86='Scenarios'!$D$62,'Scenarios'!$D$61,0)+IF(W86='Scenarios'!$D$64,'Scenarios'!$D$63,0)</x:f>
        <x:v>0</x:v>
      </x:c>
      <x:c r="X153" s="114" t="n">
        <x:f>IF(X86=1,'Scenarios'!$D$60,0)+IF(X86='Scenarios'!$D$62,'Scenarios'!$D$61,0)+IF(X86='Scenarios'!$D$64,'Scenarios'!$D$63,0)</x:f>
        <x:v>0</x:v>
      </x:c>
      <x:c r="Y153" s="114" t="n">
        <x:f>IF(Y86=1,'Scenarios'!$D$60,0)+IF(Y86='Scenarios'!$D$62,'Scenarios'!$D$61,0)+IF(Y86='Scenarios'!$D$64,'Scenarios'!$D$63,0)</x:f>
        <x:v>0</x:v>
      </x:c>
      <x:c r="Z153" s="114" t="n">
        <x:f>IF(Z86=1,'Scenarios'!$D$60,0)+IF(Z86='Scenarios'!$D$62,'Scenarios'!$D$61,0)+IF(Z86='Scenarios'!$D$64,'Scenarios'!$D$63,0)</x:f>
        <x:v>0</x:v>
      </x:c>
      <x:c r="AA153" s="114" t="n">
        <x:f>IF(AA86=1,'Scenarios'!$D$60,0)+IF(AA86='Scenarios'!$D$62,'Scenarios'!$D$61,0)+IF(AA86='Scenarios'!$D$64,'Scenarios'!$D$63,0)</x:f>
        <x:v>0</x:v>
      </x:c>
      <x:c r="AB153" s="114" t="n">
        <x:f>IF(AB86=1,'Scenarios'!$D$60,0)+IF(AB86='Scenarios'!$D$62,'Scenarios'!$D$61,0)+IF(AB86='Scenarios'!$D$64,'Scenarios'!$D$63,0)</x:f>
        <x:v>0</x:v>
      </x:c>
      <x:c r="AC153" s="114" t="n">
        <x:f>IF(AC86=1,'Scenarios'!$D$60,0)+IF(AC86='Scenarios'!$D$62,'Scenarios'!$D$61,0)+IF(AC86='Scenarios'!$D$64,'Scenarios'!$D$63,0)</x:f>
        <x:v>0</x:v>
      </x:c>
      <x:c r="AD153" s="114" t="n">
        <x:f>IF(AD86=1,'Scenarios'!$D$60,0)+IF(AD86='Scenarios'!$D$62,'Scenarios'!$D$61,0)+IF(AD86='Scenarios'!$D$64,'Scenarios'!$D$63,0)</x:f>
        <x:v>0</x:v>
      </x:c>
      <x:c r="AE153" s="114" t="n">
        <x:f>IF(AE86=1,'Scenarios'!$D$60,0)+IF(AE86='Scenarios'!$D$62,'Scenarios'!$D$61,0)+IF(AE86='Scenarios'!$D$64,'Scenarios'!$D$63,0)</x:f>
        <x:v>0</x:v>
      </x:c>
      <x:c r="AF153" s="114" t="n">
        <x:f>IF(AF86=1,'Scenarios'!$D$60,0)+IF(AF86='Scenarios'!$D$62,'Scenarios'!$D$61,0)+IF(AF86='Scenarios'!$D$64,'Scenarios'!$D$63,0)</x:f>
        <x:v>0</x:v>
      </x:c>
      <x:c r="AG153" s="114" t="n">
        <x:f>IF(AG86=1,'Scenarios'!$D$60,0)+IF(AG86='Scenarios'!$D$62,'Scenarios'!$D$61,0)+IF(AG86='Scenarios'!$D$64,'Scenarios'!$D$63,0)</x:f>
        <x:v>0</x:v>
      </x:c>
      <x:c r="AH153" s="114" t="n">
        <x:f>IF(AH86=1,'Scenarios'!$D$60,0)+IF(AH86='Scenarios'!$D$62,'Scenarios'!$D$61,0)+IF(AH86='Scenarios'!$D$64,'Scenarios'!$D$63,0)</x:f>
        <x:v>0</x:v>
      </x:c>
      <x:c r="AI153" s="114" t="n">
        <x:f>IF(AI86=1,'Scenarios'!$D$60,0)+IF(AI86='Scenarios'!$D$62,'Scenarios'!$D$61,0)+IF(AI86='Scenarios'!$D$64,'Scenarios'!$D$63,0)</x:f>
        <x:v>0</x:v>
      </x:c>
      <x:c r="AJ153" s="114" t="n">
        <x:f>IF(AJ86=1,'Scenarios'!$D$60,0)+IF(AJ86='Scenarios'!$D$62,'Scenarios'!$D$61,0)+IF(AJ86='Scenarios'!$D$64,'Scenarios'!$D$63,0)</x:f>
        <x:v>0</x:v>
      </x:c>
      <x:c r="AK153" s="114" t="n">
        <x:f>IF(AK86=1,'Scenarios'!$D$60,0)+IF(AK86='Scenarios'!$D$62,'Scenarios'!$D$61,0)+IF(AK86='Scenarios'!$D$64,'Scenarios'!$D$63,0)</x:f>
        <x:v>0</x:v>
      </x:c>
      <x:c r="AL153" s="114" t="n">
        <x:f>IF(AL86=1,'Scenarios'!$D$60,0)+IF(AL86='Scenarios'!$D$62,'Scenarios'!$D$61,0)+IF(AL86='Scenarios'!$D$64,'Scenarios'!$D$63,0)</x:f>
        <x:v>0</x:v>
      </x:c>
    </x:row>
    <x:row r="154">
      <x:c r="A154" s="84" t="str">
        <x:v>Opening cash</x:v>
      </x:c>
      <x:c r="B154" s="84" t="str">
        <x:v>$</x:v>
      </x:c>
      <x:c r="C154" s="114" t="n">
        <x:f>0</x:f>
        <x:v>0</x:v>
      </x:c>
      <x:c r="D154" s="114" t="n">
        <x:f>C155</x:f>
        <x:v>-1956.4453125</x:v>
      </x:c>
      <x:c r="E154" s="114" t="n">
        <x:f>D155</x:f>
        <x:v>-2211.7890625</x:v>
      </x:c>
      <x:c r="F154" s="114" t="n">
        <x:f>E155</x:f>
        <x:v>-1812.07958984375</x:v>
      </x:c>
      <x:c r="G154" s="114" t="n">
        <x:f>F155</x:f>
        <x:v>-85.03632568359308</x:v>
      </x:c>
      <x:c r="H154" s="114" t="n">
        <x:f>G155</x:f>
        <x:v>3943.831113732911</x:v>
      </x:c>
      <x:c r="I154" s="114" t="n">
        <x:f>H155</x:f>
        <x:v>9220.252357964417</x:v>
      </x:c>
      <x:c r="J154" s="114" t="n">
        <x:f>I155</x:f>
        <x:v>15668.844334313697</x:v>
      </x:c>
      <x:c r="K154" s="114" t="n">
        <x:f>J155</x:f>
        <x:v>23272.02448179899</x:v>
      </x:c>
      <x:c r="L154" s="114" t="n">
        <x:f>K155</x:f>
        <x:v>32012.473977853253</x:v>
      </x:c>
      <x:c r="M154" s="114" t="n">
        <x:f>L155</x:f>
        <x:v>41873.133782247955</x:v>
      </x:c>
      <x:c r="N154" s="114" t="n">
        <x:f>M155</x:f>
        <x:v>52837.200740357985</x:v>
      </x:c>
      <x:c r="O154" s="114" t="n">
        <x:f>N155</x:f>
        <x:v>64666.0525900147</x:v>
      </x:c>
      <x:c r="P154" s="114" t="n">
        <x:f>O155</x:f>
        <x:v>74540.76215020781</x:v>
      </x:c>
      <x:c r="Q154" s="114" t="n">
        <x:f>P155</x:f>
        <x:v>85745.84487559179</x:v>
      </x:c>
      <x:c r="R154" s="114" t="n">
        <x:f>Q155</x:f>
        <x:v>98733.26185576404</x:v>
      </x:c>
      <x:c r="S154" s="114" t="n">
        <x:f>R155</x:f>
        <x:v>112864.27656560868</x:v>
      </x:c>
      <x:c r="T154" s="114" t="n">
        <x:f>S155</x:f>
        <x:v>128121.73503918067</x:v>
      </x:c>
      <x:c r="U154" s="114" t="n">
        <x:f>T155</x:f>
        <x:v>144488.7406200241</x:v>
      </x:c>
      <x:c r="V154" s="114" t="n">
        <x:f>U155</x:f>
        <x:v>162300.64228902984</x:v>
      </x:c>
      <x:c r="W154" s="114" t="n">
        <x:f>V155</x:f>
        <x:v>181884.09336268803</x:v>
      </x:c>
      <x:c r="X154" s="114" t="n">
        <x:f>W155</x:f>
        <x:v>202891.99081477258</x:v>
      </x:c>
      <x:c r="Y154" s="114" t="n">
        <x:f>X155</x:f>
        <x:v>225261.2990042946</x:v>
      </x:c>
      <x:c r="Z154" s="114" t="n">
        <x:f>Y155</x:f>
        <x:v>248971.59677019253</x:v>
      </x:c>
      <x:c r="AA154" s="114" t="n">
        <x:f>Z155</x:f>
        <x:v>274002.76926882076</x:v>
      </x:c>
      <x:c r="AB154" s="114" t="n">
        <x:f>AA155</x:f>
        <x:v>300481.28663484065</x:v>
      </x:c>
      <x:c r="AC154" s="114" t="n">
        <x:f>AB155</x:f>
        <x:v>328590.1618849015</x:v>
      </x:c>
      <x:c r="AD154" s="114" t="n">
        <x:f>AC155</x:f>
        <x:v>358119.97236558644</x:v>
      </x:c>
      <x:c r="AE154" s="114" t="n">
        <x:f>AD155</x:f>
        <x:v>389007.7351031236</x:v>
      </x:c>
      <x:c r="AF154" s="114" t="n">
        <x:f>AE155</x:f>
        <x:v>421233.0808136602</x:v>
      </x:c>
      <x:c r="AG154" s="114" t="n">
        <x:f>AF155</x:f>
        <x:v>454775.94575260126</x:v>
      </x:c>
      <x:c r="AH154" s="114" t="n">
        <x:f>AG155</x:f>
        <x:v>489616.5671315207</x:v>
      </x:c>
      <x:c r="AI154" s="114" t="n">
        <x:f>AH155</x:f>
        <x:v>525735.4786038189</x:v>
      </x:c>
      <x:c r="AJ154" s="114" t="n">
        <x:f>AI155</x:f>
        <x:v>563113.5058180952</x:v>
      </x:c>
      <x:c r="AK154" s="114" t="n">
        <x:f>AJ155</x:f>
        <x:v>601731.7620382197</x:v>
      </x:c>
      <x:c r="AL154" s="114" t="n">
        <x:f>AK155</x:f>
        <x:v>641571.6438291048</x:v>
      </x:c>
    </x:row>
    <x:row r="155">
      <x:c r="A155" s="84" t="str">
        <x:v>Ending cash</x:v>
      </x:c>
      <x:c r="B155" s="84" t="str">
        <x:v>$</x:v>
      </x:c>
      <x:c r="C155" s="118" t="n">
        <x:f>C154+C150-C151+C153</x:f>
        <x:v>-1956.4453125</x:v>
      </x:c>
      <x:c r="D155" s="118" t="n">
        <x:f>D154+D150-D151+D153</x:f>
        <x:v>-2211.7890625</x:v>
      </x:c>
      <x:c r="E155" s="118" t="n">
        <x:f>E154+E150-E151+E153</x:f>
        <x:v>-1812.07958984375</x:v>
      </x:c>
      <x:c r="F155" s="118" t="n">
        <x:f>F154+F150-F151+F153</x:f>
        <x:v>-85.03632568359308</x:v>
      </x:c>
      <x:c r="G155" s="118" t="n">
        <x:f>G154+G150-G151+G153</x:f>
        <x:v>3943.831113732911</x:v>
      </x:c>
      <x:c r="H155" s="118" t="n">
        <x:f>H154+H150-H151+H153</x:f>
        <x:v>9220.252357964417</x:v>
      </x:c>
      <x:c r="I155" s="118" t="n">
        <x:f>I154+I150-I151+I153</x:f>
        <x:v>15668.844334313697</x:v>
      </x:c>
      <x:c r="J155" s="118" t="n">
        <x:f>J154+J150-J151+J153</x:f>
        <x:v>23272.02448179899</x:v>
      </x:c>
      <x:c r="K155" s="118" t="n">
        <x:f>K154+K150-K151+K153</x:f>
        <x:v>32012.473977853253</x:v>
      </x:c>
      <x:c r="L155" s="118" t="n">
        <x:f>L154+L150-L151+L153</x:f>
        <x:v>41873.133782247955</x:v>
      </x:c>
      <x:c r="M155" s="118" t="n">
        <x:f>M154+M150-M151+M153</x:f>
        <x:v>52837.200740357985</x:v>
      </x:c>
      <x:c r="N155" s="118" t="n">
        <x:f>N154+N150-N151+N153</x:f>
        <x:v>64666.0525900147</x:v>
      </x:c>
      <x:c r="O155" s="118" t="n">
        <x:f>O154+O150-O151+O153</x:f>
        <x:v>74540.76215020781</x:v>
      </x:c>
      <x:c r="P155" s="118" t="n">
        <x:f>P154+P150-P151+P153</x:f>
        <x:v>85745.84487559179</x:v>
      </x:c>
      <x:c r="Q155" s="118" t="n">
        <x:f>Q154+Q150-Q151+Q153</x:f>
        <x:v>98733.26185576404</x:v>
      </x:c>
      <x:c r="R155" s="118" t="n">
        <x:f>R154+R150-R151+R153</x:f>
        <x:v>112864.27656560868</x:v>
      </x:c>
      <x:c r="S155" s="118" t="n">
        <x:f>S154+S150-S151+S153</x:f>
        <x:v>128121.73503918067</x:v>
      </x:c>
      <x:c r="T155" s="118" t="n">
        <x:f>T154+T150-T151+T153</x:f>
        <x:v>144488.7406200241</x:v>
      </x:c>
      <x:c r="U155" s="118" t="n">
        <x:f>U154+U150-U151+U153</x:f>
        <x:v>162300.64228902984</x:v>
      </x:c>
      <x:c r="V155" s="118" t="n">
        <x:f>V154+V150-V151+V153</x:f>
        <x:v>181884.09336268803</x:v>
      </x:c>
      <x:c r="W155" s="118" t="n">
        <x:f>W154+W150-W151+W153</x:f>
        <x:v>202891.99081477258</x:v>
      </x:c>
      <x:c r="X155" s="118" t="n">
        <x:f>X154+X150-X151+X153</x:f>
        <x:v>225261.2990042946</x:v>
      </x:c>
      <x:c r="Y155" s="118" t="n">
        <x:f>Y154+Y150-Y151+Y153</x:f>
        <x:v>248971.59677019253</x:v>
      </x:c>
      <x:c r="Z155" s="118" t="n">
        <x:f>Z154+Z150-Z151+Z153</x:f>
        <x:v>274002.76926882076</x:v>
      </x:c>
      <x:c r="AA155" s="118" t="n">
        <x:f>AA154+AA150-AA151+AA153</x:f>
        <x:v>300481.28663484065</x:v>
      </x:c>
      <x:c r="AB155" s="118" t="n">
        <x:f>AB154+AB150-AB151+AB153</x:f>
        <x:v>328590.1618849015</x:v>
      </x:c>
      <x:c r="AC155" s="118" t="n">
        <x:f>AC154+AC150-AC151+AC153</x:f>
        <x:v>358119.97236558644</x:v>
      </x:c>
      <x:c r="AD155" s="118" t="n">
        <x:f>AD154+AD150-AD151+AD153</x:f>
        <x:v>389007.7351031236</x:v>
      </x:c>
      <x:c r="AE155" s="118" t="n">
        <x:f>AE154+AE150-AE151+AE153</x:f>
        <x:v>421233.0808136602</x:v>
      </x:c>
      <x:c r="AF155" s="118" t="n">
        <x:f>AF154+AF150-AF151+AF153</x:f>
        <x:v>454775.94575260126</x:v>
      </x:c>
      <x:c r="AG155" s="118" t="n">
        <x:f>AG154+AG150-AG151+AG153</x:f>
        <x:v>489616.5671315207</x:v>
      </x:c>
      <x:c r="AH155" s="118" t="n">
        <x:f>AH154+AH150-AH151+AH153</x:f>
        <x:v>525735.4786038189</x:v>
      </x:c>
      <x:c r="AI155" s="118" t="n">
        <x:f>AI154+AI150-AI151+AI153</x:f>
        <x:v>563113.5058180952</x:v>
      </x:c>
      <x:c r="AJ155" s="118" t="n">
        <x:f>AJ154+AJ150-AJ151+AJ153</x:f>
        <x:v>601731.7620382197</x:v>
      </x:c>
      <x:c r="AK155" s="118" t="n">
        <x:f>AK154+AK150-AK151+AK153</x:f>
        <x:v>641571.6438291048</x:v>
      </x:c>
      <x:c r="AL155" s="118" t="n">
        <x:f>AL154+AL150-AL151+AL153</x:f>
        <x:v>682614.8268071893</x:v>
      </x:c>
    </x:row>
    <x:row r="156">
      <x:c r="A156" s="84" t="str">
        <x:v>Accounts receivable</x:v>
      </x:c>
      <x:c r="B156" s="84" t="str">
        <x:v>$</x:v>
      </x:c>
      <x:c r="C156" s="114" t="n">
        <x:f>C108*(1-'Scenarios'!$D$59)</x:f>
        <x:v>69.92187500000006</x:v>
      </x:c>
      <x:c r="D156" s="114" t="n">
        <x:f>D108*(1-'Scenarios'!$D$59)</x:f>
        <x:v>158.09375000000014</x:v>
      </x:c>
      <x:c r="E156" s="114" t="n">
        <x:f>E108*(1-'Scenarios'!$D$59)</x:f>
        <x:v>189.94003906250018</x:v>
      </x:c>
      <x:c r="F156" s="114" t="n">
        <x:f>F108*(1-'Scenarios'!$D$59)</x:f>
        <x:v>261.15238378906275</x:v>
      </x:c>
      <x:c r="G156" s="114" t="n">
        <x:f>G108*(1-'Scenarios'!$D$59)</x:f>
        <x:v>382.89419959472696</x:v>
      </x:c>
      <x:c r="H156" s="114" t="n">
        <x:f>H108*(1-'Scenarios'!$D$59)</x:f>
        <x:v>446.140122538306</x:v>
      </x:c>
      <x:c r="I156" s="114" t="n">
        <x:f>I108*(1-'Scenarios'!$D$59)</x:f>
        <x:v>508.4373566377315</x:v>
      </x:c>
      <x:c r="J156" s="114" t="n">
        <x:f>J108*(1-'Scenarios'!$D$59)</x:f>
        <x:v>569.8001322256656</x:v>
      </x:c>
      <x:c r="K156" s="114" t="n">
        <x:f>K108*(1-'Scenarios'!$D$59)</x:f>
        <x:v>630.2424661797806</x:v>
      </x:c>
      <x:c r="L156" s="114" t="n">
        <x:f>L108*(1-'Scenarios'!$D$59)</x:f>
        <x:v>689.7781651245842</x:v>
      </x:c>
      <x:c r="M156" s="114" t="n">
        <x:f>M108*(1-'Scenarios'!$D$59)</x:f>
        <x:v>748.4208285852154</x:v>
      </x:c>
      <x:c r="N156" s="114" t="n">
        <x:f>N108*(1-'Scenarios'!$D$59)</x:f>
        <x:v>806.183852093937</x:v>
      </x:c>
      <x:c r="O156" s="114" t="n">
        <x:f>O108*(1-'Scenarios'!$D$59)</x:f>
        <x:v>901.7523052500281</x:v>
      </x:c>
      <x:c r="P156" s="114" t="n">
        <x:f>P108*(1-'Scenarios'!$D$59)</x:f>
        <x:v>1045.967309733778</x:v>
      </x:c>
      <x:c r="Q156" s="114" t="n">
        <x:f>Q108*(1-'Scenarios'!$D$59)</x:f>
        <x:v>1133.0160813377713</x:v>
      </x:c>
      <x:c r="R156" s="114" t="n">
        <x:f>R108*(1-'Scenarios'!$D$59)</x:f>
        <x:v>1218.7591213677047</x:v>
      </x:c>
      <x:c r="S156" s="114" t="n">
        <x:f>S108*(1-'Scenarios'!$D$59)</x:f>
        <x:v>1303.2160157971891</x:v>
      </x:c>
      <x:c r="T156" s="114" t="n">
        <x:f>T108*(1-'Scenarios'!$D$59)</x:f>
        <x:v>1386.4060568102316</x:v>
      </x:c>
      <x:c r="U156" s="114" t="n">
        <x:f>U108*(1-'Scenarios'!$D$59)</x:f>
        <x:v>1497.6451222080784</x:v>
      </x:c>
      <x:c r="V156" s="114" t="n">
        <x:f>V108*(1-'Scenarios'!$D$59)</x:f>
        <x:v>1645.1550547499573</x:v>
      </x:c>
      <x:c r="W156" s="114" t="n">
        <x:f>W108*(1-'Scenarios'!$D$59)</x:f>
        <x:v>1748.7833929912078</x:v>
      </x:c>
      <x:c r="X156" s="114" t="n">
        <x:f>X108*(1-'Scenarios'!$D$59)</x:f>
        <x:v>1850.8573061588397</x:v>
      </x:c>
      <x:c r="Y156" s="114" t="n">
        <x:f>Y108*(1-'Scenarios'!$D$59)</x:f>
        <x:v>1951.4001106289575</x:v>
      </x:c>
      <x:c r="Z156" s="114" t="n">
        <x:f>Z108*(1-'Scenarios'!$D$59)</x:f>
        <x:v>2050.4347730320233</x:v>
      </x:c>
      <x:c r="AA156" s="114" t="n">
        <x:f>AA108*(1-'Scenarios'!$D$59)</x:f>
        <x:v>2177.2807904990427</x:v>
      </x:c>
      <x:c r="AB156" s="114" t="n">
        <x:f>AB108*(1-'Scenarios'!$D$59)</x:f>
        <x:v>2340.163570829057</x:v>
      </x:c>
      <x:c r="AC156" s="114" t="n">
        <x:f>AC108*(1-'Scenarios'!$D$59)</x:f>
        <x:v>2458.9341641416213</x:v>
      </x:c>
      <x:c r="AD156" s="114" t="n">
        <x:f>AD108*(1-'Scenarios'!$D$59)</x:f>
        <x:v>2575.9231985544975</x:v>
      </x:c>
      <x:c r="AE156" s="114" t="n">
        <x:f>AE108*(1-'Scenarios'!$D$59)</x:f>
        <x:v>2691.1573974511803</x:v>
      </x:c>
      <x:c r="AF156" s="114" t="n">
        <x:f>AF108*(1-'Scenarios'!$D$59)</x:f>
        <x:v>2804.6630833644126</x:v>
      </x:c>
      <x:c r="AG156" s="114" t="n">
        <x:f>AG108*(1-'Scenarios'!$D$59)</x:f>
        <x:v>2916.4661839889463</x:v>
      </x:c>
      <x:c r="AH156" s="114" t="n">
        <x:f>AH108*(1-'Scenarios'!$D$59)</x:f>
        <x:v>3026.5922381041128</x:v>
      </x:c>
      <x:c r="AI156" s="114" t="n">
        <x:f>AI108*(1-'Scenarios'!$D$59)</x:f>
        <x:v>3135.066401407551</x:v>
      </x:c>
      <x:c r="AJ156" s="114" t="n">
        <x:f>AJ108*(1-'Scenarios'!$D$59)</x:f>
        <x:v>3241.913452261438</x:v>
      </x:c>
      <x:c r="AK156" s="114" t="n">
        <x:f>AK108*(1-'Scenarios'!$D$59)</x:f>
        <x:v>3347.1577973525164</x:v>
      </x:c>
      <x:c r="AL156" s="114" t="n">
        <x:f>AL108*(1-'Scenarios'!$D$59)</x:f>
        <x:v>3450.8234772672295</x:v>
      </x:c>
    </x:row>
    <x:row r="157">
      <x:c r="A157" s="84" t="str">
        <x:v>Cumulative sponsor capital</x:v>
      </x:c>
      <x:c r="B157" s="84" t="str">
        <x:v>$</x:v>
      </x:c>
      <x:c r="C157" s="114" t="n">
        <x:f>C153</x:f>
        <x:v>5000</x:v>
      </x:c>
      <x:c r="D157" s="114" t="n">
        <x:f>C157+D153</x:f>
        <x:v>5000</x:v>
      </x:c>
      <x:c r="E157" s="114" t="n">
        <x:f>D157+E153</x:f>
        <x:v>5000</x:v>
      </x:c>
      <x:c r="F157" s="114" t="n">
        <x:f>E157+F153</x:f>
        <x:v>5000</x:v>
      </x:c>
      <x:c r="G157" s="114" t="n">
        <x:f>F157+G153</x:f>
        <x:v>5000</x:v>
      </x:c>
      <x:c r="H157" s="114" t="n">
        <x:f>G157+H153</x:f>
        <x:v>5000</x:v>
      </x:c>
      <x:c r="I157" s="114" t="n">
        <x:f>H157+I153</x:f>
        <x:v>5000</x:v>
      </x:c>
      <x:c r="J157" s="114" t="n">
        <x:f>I157+J153</x:f>
        <x:v>5000</x:v>
      </x:c>
      <x:c r="K157" s="114" t="n">
        <x:f>J157+K153</x:f>
        <x:v>5000</x:v>
      </x:c>
      <x:c r="L157" s="114" t="n">
        <x:f>K157+L153</x:f>
        <x:v>17500</x:v>
      </x:c>
      <x:c r="M157" s="114" t="n">
        <x:f>L157+M153</x:f>
        <x:v>17500</x:v>
      </x:c>
      <x:c r="N157" s="114" t="n">
        <x:f>M157+N153</x:f>
        <x:v>17500</x:v>
      </x:c>
      <x:c r="O157" s="114" t="n">
        <x:f>N157+O153</x:f>
        <x:v>17500</x:v>
      </x:c>
      <x:c r="P157" s="114" t="n">
        <x:f>O157+P153</x:f>
        <x:v>17500</x:v>
      </x:c>
      <x:c r="Q157" s="114" t="n">
        <x:f>P157+Q153</x:f>
        <x:v>17500</x:v>
      </x:c>
      <x:c r="R157" s="114" t="n">
        <x:f>Q157+R153</x:f>
        <x:v>42500</x:v>
      </x:c>
      <x:c r="S157" s="114" t="n">
        <x:f>R157+S153</x:f>
        <x:v>42500</x:v>
      </x:c>
      <x:c r="T157" s="114" t="n">
        <x:f>S157+T153</x:f>
        <x:v>42500</x:v>
      </x:c>
      <x:c r="U157" s="114" t="n">
        <x:f>T157+U153</x:f>
        <x:v>42500</x:v>
      </x:c>
      <x:c r="V157" s="114" t="n">
        <x:f>U157+V153</x:f>
        <x:v>42500</x:v>
      </x:c>
      <x:c r="W157" s="114" t="n">
        <x:f>V157+W153</x:f>
        <x:v>42500</x:v>
      </x:c>
      <x:c r="X157" s="114" t="n">
        <x:f>W157+X153</x:f>
        <x:v>42500</x:v>
      </x:c>
      <x:c r="Y157" s="114" t="n">
        <x:f>X157+Y153</x:f>
        <x:v>42500</x:v>
      </x:c>
      <x:c r="Z157" s="114" t="n">
        <x:f>Y157+Z153</x:f>
        <x:v>42500</x:v>
      </x:c>
      <x:c r="AA157" s="114" t="n">
        <x:f>Z157+AA153</x:f>
        <x:v>42500</x:v>
      </x:c>
      <x:c r="AB157" s="114" t="n">
        <x:f>AA157+AB153</x:f>
        <x:v>42500</x:v>
      </x:c>
      <x:c r="AC157" s="114" t="n">
        <x:f>AB157+AC153</x:f>
        <x:v>42500</x:v>
      </x:c>
      <x:c r="AD157" s="114" t="n">
        <x:f>AC157+AD153</x:f>
        <x:v>42500</x:v>
      </x:c>
      <x:c r="AE157" s="114" t="n">
        <x:f>AD157+AE153</x:f>
        <x:v>42500</x:v>
      </x:c>
      <x:c r="AF157" s="114" t="n">
        <x:f>AE157+AF153</x:f>
        <x:v>42500</x:v>
      </x:c>
      <x:c r="AG157" s="114" t="n">
        <x:f>AF157+AG153</x:f>
        <x:v>42500</x:v>
      </x:c>
      <x:c r="AH157" s="114" t="n">
        <x:f>AG157+AH153</x:f>
        <x:v>42500</x:v>
      </x:c>
      <x:c r="AI157" s="114" t="n">
        <x:f>AH157+AI153</x:f>
        <x:v>42500</x:v>
      </x:c>
      <x:c r="AJ157" s="114" t="n">
        <x:f>AI157+AJ153</x:f>
        <x:v>42500</x:v>
      </x:c>
      <x:c r="AK157" s="114" t="n">
        <x:f>AJ157+AK153</x:f>
        <x:v>42500</x:v>
      </x:c>
      <x:c r="AL157" s="114" t="n">
        <x:f>AK157+AL153</x:f>
        <x:v>42500</x:v>
      </x:c>
    </x:row>
    <x:row r="158">
      <x:c r="A158" s="63" t="str">
        <x:v>MODEL CHECKS</x:v>
      </x:c>
      <x:c r="B158" s="63" t="str"/>
      <x:c r="C158" s="112"/>
      <x:c r="D158" s="112"/>
      <x:c r="E158" s="112"/>
      <x:c r="F158" s="112"/>
      <x:c r="G158" s="112"/>
      <x:c r="H158" s="112"/>
      <x:c r="I158" s="112"/>
      <x:c r="J158" s="112"/>
      <x:c r="K158" s="112"/>
      <x:c r="L158" s="112"/>
      <x:c r="M158" s="112"/>
      <x:c r="N158" s="112"/>
      <x:c r="O158" s="112"/>
      <x:c r="P158" s="112"/>
      <x:c r="Q158" s="112"/>
      <x:c r="R158" s="112"/>
      <x:c r="S158" s="112"/>
      <x:c r="T158" s="112"/>
      <x:c r="U158" s="112"/>
      <x:c r="V158" s="112"/>
      <x:c r="W158" s="112"/>
      <x:c r="X158" s="112"/>
      <x:c r="Y158" s="112"/>
      <x:c r="Z158" s="112"/>
      <x:c r="AA158" s="112"/>
      <x:c r="AB158" s="112"/>
      <x:c r="AC158" s="112"/>
      <x:c r="AD158" s="112"/>
      <x:c r="AE158" s="112"/>
      <x:c r="AF158" s="112"/>
      <x:c r="AG158" s="112"/>
      <x:c r="AH158" s="112"/>
      <x:c r="AI158" s="112"/>
      <x:c r="AJ158" s="112"/>
      <x:c r="AK158" s="112"/>
      <x:c r="AL158" s="112"/>
    </x:row>
    <x:row r="159">
      <x:c r="A159" s="84" t="str">
        <x:v>Active-account roll-forward check</x:v>
      </x:c>
      <x:c r="B159" s="84" t="str">
        <x:v>check</x:v>
      </x:c>
      <x:c r="C159" s="113" t="n">
        <x:f>C93-C91</x:f>
        <x:v>0</x:v>
      </x:c>
      <x:c r="D159" s="113" t="n">
        <x:f>D93-(C93-D92+D91)</x:f>
        <x:v>0</x:v>
      </x:c>
      <x:c r="E159" s="113" t="n">
        <x:f>E93-(D93-E92+E91)</x:f>
        <x:v>0</x:v>
      </x:c>
      <x:c r="F159" s="113" t="n">
        <x:f>F93-(E93-F92+F91)</x:f>
        <x:v>0</x:v>
      </x:c>
      <x:c r="G159" s="113" t="n">
        <x:f>G93-(F93-G92+G91)</x:f>
        <x:v>0</x:v>
      </x:c>
      <x:c r="H159" s="113" t="n">
        <x:f>H93-(G93-H92+H91)</x:f>
        <x:v>0</x:v>
      </x:c>
      <x:c r="I159" s="113" t="n">
        <x:f>I93-(H93-I92+I91)</x:f>
        <x:v>0</x:v>
      </x:c>
      <x:c r="J159" s="113" t="n">
        <x:f>J93-(I93-J92+J91)</x:f>
        <x:v>0</x:v>
      </x:c>
      <x:c r="K159" s="113" t="n">
        <x:f>K93-(J93-K92+K91)</x:f>
        <x:v>0</x:v>
      </x:c>
      <x:c r="L159" s="113" t="n">
        <x:f>L93-(K93-L92+L91)</x:f>
        <x:v>0</x:v>
      </x:c>
      <x:c r="M159" s="113" t="n">
        <x:f>M93-(L93-M92+M91)</x:f>
        <x:v>0</x:v>
      </x:c>
      <x:c r="N159" s="113" t="n">
        <x:f>N93-(M93-N92+N91)</x:f>
        <x:v>0</x:v>
      </x:c>
      <x:c r="O159" s="113" t="n">
        <x:f>O93-(N93-O92+O91)</x:f>
        <x:v>0</x:v>
      </x:c>
      <x:c r="P159" s="113" t="n">
        <x:f>P93-(O93-P92+P91)</x:f>
        <x:v>0</x:v>
      </x:c>
      <x:c r="Q159" s="113" t="n">
        <x:f>Q93-(P93-Q92+Q91)</x:f>
        <x:v>0</x:v>
      </x:c>
      <x:c r="R159" s="113" t="n">
        <x:f>R93-(Q93-R92+R91)</x:f>
        <x:v>0</x:v>
      </x:c>
      <x:c r="S159" s="113" t="n">
        <x:f>S93-(R93-S92+S91)</x:f>
        <x:v>0</x:v>
      </x:c>
      <x:c r="T159" s="113" t="n">
        <x:f>T93-(S93-T92+T91)</x:f>
        <x:v>0</x:v>
      </x:c>
      <x:c r="U159" s="113" t="n">
        <x:f>U93-(T93-U92+U91)</x:f>
        <x:v>0</x:v>
      </x:c>
      <x:c r="V159" s="113" t="n">
        <x:f>V93-(U93-V92+V91)</x:f>
        <x:v>0</x:v>
      </x:c>
      <x:c r="W159" s="113" t="n">
        <x:f>W93-(V93-W92+W91)</x:f>
        <x:v>0</x:v>
      </x:c>
      <x:c r="X159" s="113" t="n">
        <x:f>X93-(W93-X92+X91)</x:f>
        <x:v>0</x:v>
      </x:c>
      <x:c r="Y159" s="113" t="n">
        <x:f>Y93-(X93-Y92+Y91)</x:f>
        <x:v>0</x:v>
      </x:c>
      <x:c r="Z159" s="113" t="n">
        <x:f>Z93-(Y93-Z92+Z91)</x:f>
        <x:v>0</x:v>
      </x:c>
      <x:c r="AA159" s="113" t="n">
        <x:f>AA93-(Z93-AA92+AA91)</x:f>
        <x:v>0</x:v>
      </x:c>
      <x:c r="AB159" s="113" t="n">
        <x:f>AB93-(AA93-AB92+AB91)</x:f>
        <x:v>0</x:v>
      </x:c>
      <x:c r="AC159" s="113" t="n">
        <x:f>AC93-(AB93-AC92+AC91)</x:f>
        <x:v>0</x:v>
      </x:c>
      <x:c r="AD159" s="113" t="n">
        <x:f>AD93-(AC93-AD92+AD91)</x:f>
        <x:v>0</x:v>
      </x:c>
      <x:c r="AE159" s="113" t="n">
        <x:f>AE93-(AD93-AE92+AE91)</x:f>
        <x:v>0</x:v>
      </x:c>
      <x:c r="AF159" s="113" t="n">
        <x:f>AF93-(AE93-AF92+AF91)</x:f>
        <x:v>0</x:v>
      </x:c>
      <x:c r="AG159" s="113" t="n">
        <x:f>AG93-(AF93-AG92+AG91)</x:f>
        <x:v>0</x:v>
      </x:c>
      <x:c r="AH159" s="113" t="n">
        <x:f>AH93-(AG93-AH92+AH91)</x:f>
        <x:v>0</x:v>
      </x:c>
      <x:c r="AI159" s="113" t="n">
        <x:f>AI93-(AH93-AI92+AI91)</x:f>
        <x:v>0</x:v>
      </x:c>
      <x:c r="AJ159" s="113" t="n">
        <x:f>AJ93-(AI93-AJ92+AJ91)</x:f>
        <x:v>0</x:v>
      </x:c>
      <x:c r="AK159" s="113" t="n">
        <x:f>AK93-(AJ93-AK92+AK91)</x:f>
        <x:v>0</x:v>
      </x:c>
      <x:c r="AL159" s="113" t="n">
        <x:f>AL93-(AK93-AL92+AL91)</x:f>
        <x:v>0</x:v>
      </x:c>
    </x:row>
    <x:row r="160">
      <x:c r="A160" s="84" t="str">
        <x:v>Revenue tie check</x:v>
      </x:c>
      <x:c r="B160" s="84" t="str">
        <x:v>check</x:v>
      </x:c>
      <x:c r="C160" s="113" t="n">
        <x:f>C108-SUM(C100:C106)</x:f>
        <x:v>0</x:v>
      </x:c>
      <x:c r="D160" s="113" t="n">
        <x:f>D108-SUM(D100:D106)</x:f>
        <x:v>0</x:v>
      </x:c>
      <x:c r="E160" s="113" t="n">
        <x:f>E108-SUM(E100:E106)</x:f>
        <x:v>0</x:v>
      </x:c>
      <x:c r="F160" s="113" t="n">
        <x:f>F108-SUM(F100:F106)</x:f>
        <x:v>0</x:v>
      </x:c>
      <x:c r="G160" s="113" t="n">
        <x:f>G108-SUM(G100:G106)</x:f>
        <x:v>0</x:v>
      </x:c>
      <x:c r="H160" s="113" t="n">
        <x:f>H108-SUM(H100:H106)</x:f>
        <x:v>0</x:v>
      </x:c>
      <x:c r="I160" s="113" t="n">
        <x:f>I108-SUM(I100:I106)</x:f>
        <x:v>0</x:v>
      </x:c>
      <x:c r="J160" s="113" t="n">
        <x:f>J108-SUM(J100:J106)</x:f>
        <x:v>0</x:v>
      </x:c>
      <x:c r="K160" s="113" t="n">
        <x:f>K108-SUM(K100:K106)</x:f>
        <x:v>0</x:v>
      </x:c>
      <x:c r="L160" s="113" t="n">
        <x:f>L108-SUM(L100:L106)</x:f>
        <x:v>0</x:v>
      </x:c>
      <x:c r="M160" s="113" t="n">
        <x:f>M108-SUM(M100:M106)</x:f>
        <x:v>0</x:v>
      </x:c>
      <x:c r="N160" s="113" t="n">
        <x:f>N108-SUM(N100:N106)</x:f>
        <x:v>0</x:v>
      </x:c>
      <x:c r="O160" s="113" t="n">
        <x:f>O108-SUM(O100:O106)</x:f>
        <x:v>0</x:v>
      </x:c>
      <x:c r="P160" s="113" t="n">
        <x:f>P108-SUM(P100:P106)</x:f>
        <x:v>0</x:v>
      </x:c>
      <x:c r="Q160" s="113" t="n">
        <x:f>Q108-SUM(Q100:Q106)</x:f>
        <x:v>0</x:v>
      </x:c>
      <x:c r="R160" s="113" t="n">
        <x:f>R108-SUM(R100:R106)</x:f>
        <x:v>0</x:v>
      </x:c>
      <x:c r="S160" s="113" t="n">
        <x:f>S108-SUM(S100:S106)</x:f>
        <x:v>0</x:v>
      </x:c>
      <x:c r="T160" s="113" t="n">
        <x:f>T108-SUM(T100:T106)</x:f>
        <x:v>0</x:v>
      </x:c>
      <x:c r="U160" s="113" t="n">
        <x:f>U108-SUM(U100:U106)</x:f>
        <x:v>0</x:v>
      </x:c>
      <x:c r="V160" s="113" t="n">
        <x:f>V108-SUM(V100:V106)</x:f>
        <x:v>0</x:v>
      </x:c>
      <x:c r="W160" s="113" t="n">
        <x:f>W108-SUM(W100:W106)</x:f>
        <x:v>0</x:v>
      </x:c>
      <x:c r="X160" s="113" t="n">
        <x:f>X108-SUM(X100:X106)</x:f>
        <x:v>0</x:v>
      </x:c>
      <x:c r="Y160" s="113" t="n">
        <x:f>Y108-SUM(Y100:Y106)</x:f>
        <x:v>0</x:v>
      </x:c>
      <x:c r="Z160" s="113" t="n">
        <x:f>Z108-SUM(Z100:Z106)</x:f>
        <x:v>0</x:v>
      </x:c>
      <x:c r="AA160" s="113" t="n">
        <x:f>AA108-SUM(AA100:AA106)</x:f>
        <x:v>0</x:v>
      </x:c>
      <x:c r="AB160" s="113" t="n">
        <x:f>AB108-SUM(AB100:AB106)</x:f>
        <x:v>0</x:v>
      </x:c>
      <x:c r="AC160" s="113" t="n">
        <x:f>AC108-SUM(AC100:AC106)</x:f>
        <x:v>0</x:v>
      </x:c>
      <x:c r="AD160" s="113" t="n">
        <x:f>AD108-SUM(AD100:AD106)</x:f>
        <x:v>0</x:v>
      </x:c>
      <x:c r="AE160" s="113" t="n">
        <x:f>AE108-SUM(AE100:AE106)</x:f>
        <x:v>0</x:v>
      </x:c>
      <x:c r="AF160" s="113" t="n">
        <x:f>AF108-SUM(AF100:AF106)</x:f>
        <x:v>0</x:v>
      </x:c>
      <x:c r="AG160" s="113" t="n">
        <x:f>AG108-SUM(AG100:AG106)</x:f>
        <x:v>0</x:v>
      </x:c>
      <x:c r="AH160" s="113" t="n">
        <x:f>AH108-SUM(AH100:AH106)</x:f>
        <x:v>0</x:v>
      </x:c>
      <x:c r="AI160" s="113" t="n">
        <x:f>AI108-SUM(AI100:AI106)</x:f>
        <x:v>0</x:v>
      </x:c>
      <x:c r="AJ160" s="113" t="n">
        <x:f>AJ108-SUM(AJ100:AJ106)</x:f>
        <x:v>0</x:v>
      </x:c>
      <x:c r="AK160" s="113" t="n">
        <x:f>AK108-SUM(AK100:AK106)</x:f>
        <x:v>0</x:v>
      </x:c>
      <x:c r="AL160" s="113" t="n">
        <x:f>AL108-SUM(AL100:AL106)</x:f>
        <x:v>0</x:v>
      </x:c>
    </x:row>
    <x:row r="161">
      <x:c r="A161" s="84" t="str">
        <x:v>Capacity allocation check</x:v>
      </x:c>
      <x:c r="B161" s="84" t="str">
        <x:v>check</x:v>
      </x:c>
      <x:c r="C161" s="113" t="n">
        <x:f>C117-SUM(C119,C121,C122)</x:f>
        <x:v>0</x:v>
      </x:c>
      <x:c r="D161" s="113" t="n">
        <x:f>D117-SUM(D119,D121,D122)</x:f>
        <x:v>0</x:v>
      </x:c>
      <x:c r="E161" s="113" t="n">
        <x:f>E117-SUM(E119,E121,E122)</x:f>
        <x:v>0</x:v>
      </x:c>
      <x:c r="F161" s="113" t="n">
        <x:f>F117-SUM(F119,F121,F122)</x:f>
        <x:v>0</x:v>
      </x:c>
      <x:c r="G161" s="113" t="n">
        <x:f>G117-SUM(G119,G121,G122)</x:f>
        <x:v>0</x:v>
      </x:c>
      <x:c r="H161" s="113" t="n">
        <x:f>H117-SUM(H119,H121,H122)</x:f>
        <x:v>0</x:v>
      </x:c>
      <x:c r="I161" s="113" t="n">
        <x:f>I117-SUM(I119,I121,I122)</x:f>
        <x:v>0</x:v>
      </x:c>
      <x:c r="J161" s="113" t="n">
        <x:f>J117-SUM(J119,J121,J122)</x:f>
        <x:v>0</x:v>
      </x:c>
      <x:c r="K161" s="113" t="n">
        <x:f>K117-SUM(K119,K121,K122)</x:f>
        <x:v>0</x:v>
      </x:c>
      <x:c r="L161" s="113" t="n">
        <x:f>L117-SUM(L119,L121,L122)</x:f>
        <x:v>0</x:v>
      </x:c>
      <x:c r="M161" s="113" t="n">
        <x:f>M117-SUM(M119,M121,M122)</x:f>
        <x:v>0</x:v>
      </x:c>
      <x:c r="N161" s="113" t="n">
        <x:f>N117-SUM(N119,N121,N122)</x:f>
        <x:v>0</x:v>
      </x:c>
      <x:c r="O161" s="113" t="n">
        <x:f>O117-SUM(O119,O121,O122)</x:f>
        <x:v>0</x:v>
      </x:c>
      <x:c r="P161" s="113" t="n">
        <x:f>P117-SUM(P119,P121,P122)</x:f>
        <x:v>0</x:v>
      </x:c>
      <x:c r="Q161" s="113" t="n">
        <x:f>Q117-SUM(Q119,Q121,Q122)</x:f>
        <x:v>0</x:v>
      </x:c>
      <x:c r="R161" s="113" t="n">
        <x:f>R117-SUM(R119,R121,R122)</x:f>
        <x:v>0</x:v>
      </x:c>
      <x:c r="S161" s="113" t="n">
        <x:f>S117-SUM(S119,S121,S122)</x:f>
        <x:v>0</x:v>
      </x:c>
      <x:c r="T161" s="113" t="n">
        <x:f>T117-SUM(T119,T121,T122)</x:f>
        <x:v>0</x:v>
      </x:c>
      <x:c r="U161" s="113" t="n">
        <x:f>U117-SUM(U119,U121,U122)</x:f>
        <x:v>0</x:v>
      </x:c>
      <x:c r="V161" s="113" t="n">
        <x:f>V117-SUM(V119,V121,V122)</x:f>
        <x:v>0</x:v>
      </x:c>
      <x:c r="W161" s="113" t="n">
        <x:f>W117-SUM(W119,W121,W122)</x:f>
        <x:v>0</x:v>
      </x:c>
      <x:c r="X161" s="113" t="n">
        <x:f>X117-SUM(X119,X121,X122)</x:f>
        <x:v>0</x:v>
      </x:c>
      <x:c r="Y161" s="113" t="n">
        <x:f>Y117-SUM(Y119,Y121,Y122)</x:f>
        <x:v>0</x:v>
      </x:c>
      <x:c r="Z161" s="113" t="n">
        <x:f>Z117-SUM(Z119,Z121,Z122)</x:f>
        <x:v>0</x:v>
      </x:c>
      <x:c r="AA161" s="113" t="n">
        <x:f>AA117-SUM(AA119,AA121,AA122)</x:f>
        <x:v>0</x:v>
      </x:c>
      <x:c r="AB161" s="113" t="n">
        <x:f>AB117-SUM(AB119,AB121,AB122)</x:f>
        <x:v>0</x:v>
      </x:c>
      <x:c r="AC161" s="113" t="n">
        <x:f>AC117-SUM(AC119,AC121,AC122)</x:f>
        <x:v>0</x:v>
      </x:c>
      <x:c r="AD161" s="113" t="n">
        <x:f>AD117-SUM(AD119,AD121,AD122)</x:f>
        <x:v>0</x:v>
      </x:c>
      <x:c r="AE161" s="113" t="n">
        <x:f>AE117-SUM(AE119,AE121,AE122)</x:f>
        <x:v>0</x:v>
      </x:c>
      <x:c r="AF161" s="113" t="n">
        <x:f>AF117-SUM(AF119,AF121,AF122)</x:f>
        <x:v>0</x:v>
      </x:c>
      <x:c r="AG161" s="113" t="n">
        <x:f>AG117-SUM(AG119,AG121,AG122)</x:f>
        <x:v>0</x:v>
      </x:c>
      <x:c r="AH161" s="113" t="n">
        <x:f>AH117-SUM(AH119,AH121,AH122)</x:f>
        <x:v>0</x:v>
      </x:c>
      <x:c r="AI161" s="113" t="n">
        <x:f>AI117-SUM(AI119,AI121,AI122)</x:f>
        <x:v>0</x:v>
      </x:c>
      <x:c r="AJ161" s="113" t="n">
        <x:f>AJ117-SUM(AJ119,AJ121,AJ122)</x:f>
        <x:v>0</x:v>
      </x:c>
      <x:c r="AK161" s="113" t="n">
        <x:f>AK117-SUM(AK119,AK121,AK122)</x:f>
        <x:v>0</x:v>
      </x:c>
      <x:c r="AL161" s="113" t="n">
        <x:f>AL117-SUM(AL119,AL121,AL122)</x:f>
        <x:v>0</x:v>
      </x:c>
    </x:row>
    <x:row r="162">
      <x:c r="A162" s="84" t="str">
        <x:v>Cash roll-forward check</x:v>
      </x:c>
      <x:c r="B162" s="84" t="str">
        <x:v>check</x:v>
      </x:c>
      <x:c r="C162" s="113" t="n">
        <x:f>C155-(C154+C150-C151+C153)</x:f>
        <x:v>0</x:v>
      </x:c>
      <x:c r="D162" s="113" t="n">
        <x:f>D155-(D154+D150-D151+D153)</x:f>
        <x:v>0</x:v>
      </x:c>
      <x:c r="E162" s="113" t="n">
        <x:f>E155-(E154+E150-E151+E153)</x:f>
        <x:v>0</x:v>
      </x:c>
      <x:c r="F162" s="113" t="n">
        <x:f>F155-(F154+F150-F151+F153)</x:f>
        <x:v>0</x:v>
      </x:c>
      <x:c r="G162" s="113" t="n">
        <x:f>G155-(G154+G150-G151+G153)</x:f>
        <x:v>0</x:v>
      </x:c>
      <x:c r="H162" s="113" t="n">
        <x:f>H155-(H154+H150-H151+H153)</x:f>
        <x:v>0</x:v>
      </x:c>
      <x:c r="I162" s="113" t="n">
        <x:f>I155-(I154+I150-I151+I153)</x:f>
        <x:v>0</x:v>
      </x:c>
      <x:c r="J162" s="113" t="n">
        <x:f>J155-(J154+J150-J151+J153)</x:f>
        <x:v>0</x:v>
      </x:c>
      <x:c r="K162" s="113" t="n">
        <x:f>K155-(K154+K150-K151+K153)</x:f>
        <x:v>0</x:v>
      </x:c>
      <x:c r="L162" s="113" t="n">
        <x:f>L155-(L154+L150-L151+L153)</x:f>
        <x:v>0</x:v>
      </x:c>
      <x:c r="M162" s="113" t="n">
        <x:f>M155-(M154+M150-M151+M153)</x:f>
        <x:v>0</x:v>
      </x:c>
      <x:c r="N162" s="113" t="n">
        <x:f>N155-(N154+N150-N151+N153)</x:f>
        <x:v>0</x:v>
      </x:c>
      <x:c r="O162" s="113" t="n">
        <x:f>O155-(O154+O150-O151+O153)</x:f>
        <x:v>0</x:v>
      </x:c>
      <x:c r="P162" s="113" t="n">
        <x:f>P155-(P154+P150-P151+P153)</x:f>
        <x:v>0</x:v>
      </x:c>
      <x:c r="Q162" s="113" t="n">
        <x:f>Q155-(Q154+Q150-Q151+Q153)</x:f>
        <x:v>0</x:v>
      </x:c>
      <x:c r="R162" s="113" t="n">
        <x:f>R155-(R154+R150-R151+R153)</x:f>
        <x:v>0</x:v>
      </x:c>
      <x:c r="S162" s="113" t="n">
        <x:f>S155-(S154+S150-S151+S153)</x:f>
        <x:v>0</x:v>
      </x:c>
      <x:c r="T162" s="113" t="n">
        <x:f>T155-(T154+T150-T151+T153)</x:f>
        <x:v>0</x:v>
      </x:c>
      <x:c r="U162" s="113" t="n">
        <x:f>U155-(U154+U150-U151+U153)</x:f>
        <x:v>0</x:v>
      </x:c>
      <x:c r="V162" s="113" t="n">
        <x:f>V155-(V154+V150-V151+V153)</x:f>
        <x:v>0</x:v>
      </x:c>
      <x:c r="W162" s="113" t="n">
        <x:f>W155-(W154+W150-W151+W153)</x:f>
        <x:v>0</x:v>
      </x:c>
      <x:c r="X162" s="113" t="n">
        <x:f>X155-(X154+X150-X151+X153)</x:f>
        <x:v>0</x:v>
      </x:c>
      <x:c r="Y162" s="113" t="n">
        <x:f>Y155-(Y154+Y150-Y151+Y153)</x:f>
        <x:v>0</x:v>
      </x:c>
      <x:c r="Z162" s="113" t="n">
        <x:f>Z155-(Z154+Z150-Z151+Z153)</x:f>
        <x:v>0</x:v>
      </x:c>
      <x:c r="AA162" s="113" t="n">
        <x:f>AA155-(AA154+AA150-AA151+AA153)</x:f>
        <x:v>0</x:v>
      </x:c>
      <x:c r="AB162" s="113" t="n">
        <x:f>AB155-(AB154+AB150-AB151+AB153)</x:f>
        <x:v>0</x:v>
      </x:c>
      <x:c r="AC162" s="113" t="n">
        <x:f>AC155-(AC154+AC150-AC151+AC153)</x:f>
        <x:v>0</x:v>
      </x:c>
      <x:c r="AD162" s="113" t="n">
        <x:f>AD155-(AD154+AD150-AD151+AD153)</x:f>
        <x:v>0</x:v>
      </x:c>
      <x:c r="AE162" s="113" t="n">
        <x:f>AE155-(AE154+AE150-AE151+AE153)</x:f>
        <x:v>0</x:v>
      </x:c>
      <x:c r="AF162" s="113" t="n">
        <x:f>AF155-(AF154+AF150-AF151+AF153)</x:f>
        <x:v>0</x:v>
      </x:c>
      <x:c r="AG162" s="113" t="n">
        <x:f>AG155-(AG154+AG150-AG151+AG153)</x:f>
        <x:v>0</x:v>
      </x:c>
      <x:c r="AH162" s="113" t="n">
        <x:f>AH155-(AH154+AH150-AH151+AH153)</x:f>
        <x:v>0</x:v>
      </x:c>
      <x:c r="AI162" s="113" t="n">
        <x:f>AI155-(AI154+AI150-AI151+AI153)</x:f>
        <x:v>0</x:v>
      </x:c>
      <x:c r="AJ162" s="113" t="n">
        <x:f>AJ155-(AJ154+AJ150-AJ151+AJ153)</x:f>
        <x:v>0</x:v>
      </x:c>
      <x:c r="AK162" s="113" t="n">
        <x:f>AK155-(AK154+AK150-AK151+AK153)</x:f>
        <x:v>0</x:v>
      </x:c>
      <x:c r="AL162" s="113" t="n">
        <x:f>AL155-(AL154+AL150-AL151+AL153)</x:f>
        <x:v>0</x:v>
      </x:c>
    </x:row>
    <x:row r="163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4"/>
      <x:c r="K163" s="84"/>
      <x:c r="L163" s="84"/>
      <x:c r="M163" s="84"/>
      <x:c r="N163" s="84"/>
      <x:c r="O163" s="84"/>
      <x:c r="P163" s="84"/>
      <x:c r="Q163" s="84"/>
      <x:c r="R163" s="84"/>
      <x:c r="S163" s="84"/>
      <x:c r="T163" s="84"/>
      <x:c r="U163" s="84"/>
      <x:c r="V163" s="84"/>
      <x:c r="W163" s="84"/>
      <x:c r="X163" s="84"/>
      <x:c r="Y163" s="84"/>
      <x:c r="Z163" s="84"/>
      <x:c r="AA163" s="84"/>
      <x:c r="AB163" s="84"/>
      <x:c r="AC163" s="84"/>
      <x:c r="AD163" s="84"/>
      <x:c r="AE163" s="84"/>
      <x:c r="AF163" s="84"/>
      <x:c r="AG163" s="84"/>
      <x:c r="AH163" s="84"/>
      <x:c r="AI163" s="84"/>
      <x:c r="AJ163" s="84"/>
      <x:c r="AK163" s="84"/>
      <x:c r="AL163" s="84"/>
    </x:row>
    <x:row r="164">
      <x:c r="A164" s="110" t="str">
        <x:v>UPSIDE</x:v>
      </x:c>
      <x:c r="B164" s="110"/>
      <x:c r="C164" s="110"/>
      <x:c r="D164" s="110"/>
      <x:c r="E164" s="110"/>
      <x:c r="F164" s="110"/>
      <x:c r="G164" s="110"/>
      <x:c r="H164" s="110"/>
      <x:c r="I164" s="110"/>
      <x:c r="J164" s="110"/>
      <x:c r="K164" s="110"/>
      <x:c r="L164" s="110"/>
      <x:c r="M164" s="110"/>
      <x:c r="N164" s="110"/>
      <x:c r="O164" s="110"/>
      <x:c r="P164" s="110"/>
      <x:c r="Q164" s="110"/>
      <x:c r="R164" s="110"/>
      <x:c r="S164" s="110"/>
      <x:c r="T164" s="110"/>
      <x:c r="U164" s="110"/>
      <x:c r="V164" s="110"/>
      <x:c r="W164" s="110"/>
      <x:c r="X164" s="110"/>
      <x:c r="Y164" s="110"/>
      <x:c r="Z164" s="110"/>
      <x:c r="AA164" s="110"/>
      <x:c r="AB164" s="110"/>
      <x:c r="AC164" s="110"/>
      <x:c r="AD164" s="110"/>
      <x:c r="AE164" s="110"/>
      <x:c r="AF164" s="110"/>
      <x:c r="AG164" s="110"/>
      <x:c r="AH164" s="110"/>
      <x:c r="AI164" s="110"/>
      <x:c r="AJ164" s="110"/>
      <x:c r="AK164" s="110"/>
      <x:c r="AL164" s="110"/>
    </x:row>
    <x:row r="165">
      <x:c r="A165" s="84" t="str">
        <x:v>Metric</x:v>
      </x:c>
      <x:c r="B165" s="84" t="str">
        <x:v>Unit</x:v>
      </x:c>
      <x:c r="C165" s="84" t="n">
        <x:v>1</x:v>
      </x:c>
      <x:c r="D165" s="84" t="n">
        <x:v>2</x:v>
      </x:c>
      <x:c r="E165" s="84" t="n">
        <x:v>3</x:v>
      </x:c>
      <x:c r="F165" s="84" t="n">
        <x:v>4</x:v>
      </x:c>
      <x:c r="G165" s="84" t="n">
        <x:v>5</x:v>
      </x:c>
      <x:c r="H165" s="84" t="n">
        <x:v>6</x:v>
      </x:c>
      <x:c r="I165" s="84" t="n">
        <x:v>7</x:v>
      </x:c>
      <x:c r="J165" s="84" t="n">
        <x:v>8</x:v>
      </x:c>
      <x:c r="K165" s="84" t="n">
        <x:v>9</x:v>
      </x:c>
      <x:c r="L165" s="84" t="n">
        <x:v>10</x:v>
      </x:c>
      <x:c r="M165" s="84" t="n">
        <x:v>11</x:v>
      </x:c>
      <x:c r="N165" s="84" t="n">
        <x:v>12</x:v>
      </x:c>
      <x:c r="O165" s="84" t="n">
        <x:v>13</x:v>
      </x:c>
      <x:c r="P165" s="84" t="n">
        <x:v>14</x:v>
      </x:c>
      <x:c r="Q165" s="84" t="n">
        <x:v>15</x:v>
      </x:c>
      <x:c r="R165" s="84" t="n">
        <x:v>16</x:v>
      </x:c>
      <x:c r="S165" s="84" t="n">
        <x:v>17</x:v>
      </x:c>
      <x:c r="T165" s="84" t="n">
        <x:v>18</x:v>
      </x:c>
      <x:c r="U165" s="84" t="n">
        <x:v>19</x:v>
      </x:c>
      <x:c r="V165" s="84" t="n">
        <x:v>20</x:v>
      </x:c>
      <x:c r="W165" s="84" t="n">
        <x:v>21</x:v>
      </x:c>
      <x:c r="X165" s="84" t="n">
        <x:v>22</x:v>
      </x:c>
      <x:c r="Y165" s="84" t="n">
        <x:v>23</x:v>
      </x:c>
      <x:c r="Z165" s="84" t="n">
        <x:v>24</x:v>
      </x:c>
      <x:c r="AA165" s="84" t="n">
        <x:v>25</x:v>
      </x:c>
      <x:c r="AB165" s="84" t="n">
        <x:v>26</x:v>
      </x:c>
      <x:c r="AC165" s="84" t="n">
        <x:v>27</x:v>
      </x:c>
      <x:c r="AD165" s="84" t="n">
        <x:v>28</x:v>
      </x:c>
      <x:c r="AE165" s="84" t="n">
        <x:v>29</x:v>
      </x:c>
      <x:c r="AF165" s="84" t="n">
        <x:v>30</x:v>
      </x:c>
      <x:c r="AG165" s="84" t="n">
        <x:v>31</x:v>
      </x:c>
      <x:c r="AH165" s="84" t="n">
        <x:v>32</x:v>
      </x:c>
      <x:c r="AI165" s="84" t="n">
        <x:v>33</x:v>
      </x:c>
      <x:c r="AJ165" s="84" t="n">
        <x:v>34</x:v>
      </x:c>
      <x:c r="AK165" s="84" t="n">
        <x:v>35</x:v>
      </x:c>
      <x:c r="AL165" s="84" t="n">
        <x:v>36</x:v>
      </x:c>
    </x:row>
    <x:row r="166">
      <x:c r="A166" s="84" t="str">
        <x:v>Month number</x:v>
      </x:c>
      <x:c r="B166" s="84" t="str">
        <x:v>#</x:v>
      </x:c>
      <x:c r="C166" s="105" t="n">
        <x:f>1</x:f>
        <x:v>1</x:v>
      </x:c>
      <x:c r="D166" s="105" t="n">
        <x:f>2</x:f>
        <x:v>2</x:v>
      </x:c>
      <x:c r="E166" s="105" t="n">
        <x:f>3</x:f>
        <x:v>3</x:v>
      </x:c>
      <x:c r="F166" s="105" t="n">
        <x:f>4</x:f>
        <x:v>4</x:v>
      </x:c>
      <x:c r="G166" s="105" t="n">
        <x:f>5</x:f>
        <x:v>5</x:v>
      </x:c>
      <x:c r="H166" s="105" t="n">
        <x:f>6</x:f>
        <x:v>6</x:v>
      </x:c>
      <x:c r="I166" s="105" t="n">
        <x:f>7</x:f>
        <x:v>7</x:v>
      </x:c>
      <x:c r="J166" s="105" t="n">
        <x:f>8</x:f>
        <x:v>8</x:v>
      </x:c>
      <x:c r="K166" s="105" t="n">
        <x:f>9</x:f>
        <x:v>9</x:v>
      </x:c>
      <x:c r="L166" s="105" t="n">
        <x:f>10</x:f>
        <x:v>10</x:v>
      </x:c>
      <x:c r="M166" s="105" t="n">
        <x:f>11</x:f>
        <x:v>11</x:v>
      </x:c>
      <x:c r="N166" s="105" t="n">
        <x:f>12</x:f>
        <x:v>12</x:v>
      </x:c>
      <x:c r="O166" s="105" t="n">
        <x:f>13</x:f>
        <x:v>13</x:v>
      </x:c>
      <x:c r="P166" s="105" t="n">
        <x:f>14</x:f>
        <x:v>14</x:v>
      </x:c>
      <x:c r="Q166" s="105" t="n">
        <x:f>15</x:f>
        <x:v>15</x:v>
      </x:c>
      <x:c r="R166" s="105" t="n">
        <x:f>16</x:f>
        <x:v>16</x:v>
      </x:c>
      <x:c r="S166" s="105" t="n">
        <x:f>17</x:f>
        <x:v>17</x:v>
      </x:c>
      <x:c r="T166" s="105" t="n">
        <x:f>18</x:f>
        <x:v>18</x:v>
      </x:c>
      <x:c r="U166" s="105" t="n">
        <x:f>19</x:f>
        <x:v>19</x:v>
      </x:c>
      <x:c r="V166" s="105" t="n">
        <x:f>20</x:f>
        <x:v>20</x:v>
      </x:c>
      <x:c r="W166" s="105" t="n">
        <x:f>21</x:f>
        <x:v>21</x:v>
      </x:c>
      <x:c r="X166" s="105" t="n">
        <x:f>22</x:f>
        <x:v>22</x:v>
      </x:c>
      <x:c r="Y166" s="105" t="n">
        <x:f>23</x:f>
        <x:v>23</x:v>
      </x:c>
      <x:c r="Z166" s="105" t="n">
        <x:f>24</x:f>
        <x:v>24</x:v>
      </x:c>
      <x:c r="AA166" s="105" t="n">
        <x:f>25</x:f>
        <x:v>25</x:v>
      </x:c>
      <x:c r="AB166" s="105" t="n">
        <x:f>26</x:f>
        <x:v>26</x:v>
      </x:c>
      <x:c r="AC166" s="105" t="n">
        <x:f>27</x:f>
        <x:v>27</x:v>
      </x:c>
      <x:c r="AD166" s="105" t="n">
        <x:f>28</x:f>
        <x:v>28</x:v>
      </x:c>
      <x:c r="AE166" s="105" t="n">
        <x:f>29</x:f>
        <x:v>29</x:v>
      </x:c>
      <x:c r="AF166" s="105" t="n">
        <x:f>30</x:f>
        <x:v>30</x:v>
      </x:c>
      <x:c r="AG166" s="105" t="n">
        <x:f>31</x:f>
        <x:v>31</x:v>
      </x:c>
      <x:c r="AH166" s="105" t="n">
        <x:f>32</x:f>
        <x:v>32</x:v>
      </x:c>
      <x:c r="AI166" s="105" t="n">
        <x:f>33</x:f>
        <x:v>33</x:v>
      </x:c>
      <x:c r="AJ166" s="105" t="n">
        <x:f>34</x:f>
        <x:v>34</x:v>
      </x:c>
      <x:c r="AK166" s="105" t="n">
        <x:f>35</x:f>
        <x:v>35</x:v>
      </x:c>
      <x:c r="AL166" s="105" t="n">
        <x:f>36</x:f>
        <x:v>36</x:v>
      </x:c>
    </x:row>
    <x:row r="167">
      <x:c r="A167" s="84" t="str">
        <x:v>Month</x:v>
      </x:c>
      <x:c r="B167" s="84" t="str">
        <x:v>date</x:v>
      </x:c>
      <x:c r="C167" s="111" t="n">
        <x:f>DATE(2026,9,1)</x:f>
        <x:v>46266</x:v>
      </x:c>
      <x:c r="D167" s="111" t="n">
        <x:f>EDATE(C167,1)</x:f>
        <x:v>46296</x:v>
      </x:c>
      <x:c r="E167" s="111" t="n">
        <x:f>EDATE(D167,1)</x:f>
        <x:v>46327</x:v>
      </x:c>
      <x:c r="F167" s="111" t="n">
        <x:f>EDATE(E167,1)</x:f>
        <x:v>46357</x:v>
      </x:c>
      <x:c r="G167" s="111" t="n">
        <x:f>EDATE(F167,1)</x:f>
        <x:v>46388</x:v>
      </x:c>
      <x:c r="H167" s="111" t="n">
        <x:f>EDATE(G167,1)</x:f>
        <x:v>46419</x:v>
      </x:c>
      <x:c r="I167" s="111" t="n">
        <x:f>EDATE(H167,1)</x:f>
        <x:v>46447</x:v>
      </x:c>
      <x:c r="J167" s="111" t="n">
        <x:f>EDATE(I167,1)</x:f>
        <x:v>46478</x:v>
      </x:c>
      <x:c r="K167" s="111" t="n">
        <x:f>EDATE(J167,1)</x:f>
        <x:v>46508</x:v>
      </x:c>
      <x:c r="L167" s="111" t="n">
        <x:f>EDATE(K167,1)</x:f>
        <x:v>46539</x:v>
      </x:c>
      <x:c r="M167" s="111" t="n">
        <x:f>EDATE(L167,1)</x:f>
        <x:v>46569</x:v>
      </x:c>
      <x:c r="N167" s="111" t="n">
        <x:f>EDATE(M167,1)</x:f>
        <x:v>46600</x:v>
      </x:c>
      <x:c r="O167" s="111" t="n">
        <x:f>EDATE(N167,1)</x:f>
        <x:v>46631</x:v>
      </x:c>
      <x:c r="P167" s="111" t="n">
        <x:f>EDATE(O167,1)</x:f>
        <x:v>46661</x:v>
      </x:c>
      <x:c r="Q167" s="111" t="n">
        <x:f>EDATE(P167,1)</x:f>
        <x:v>46692</x:v>
      </x:c>
      <x:c r="R167" s="111" t="n">
        <x:f>EDATE(Q167,1)</x:f>
        <x:v>46722</x:v>
      </x:c>
      <x:c r="S167" s="111" t="n">
        <x:f>EDATE(R167,1)</x:f>
        <x:v>46753</x:v>
      </x:c>
      <x:c r="T167" s="111" t="n">
        <x:f>EDATE(S167,1)</x:f>
        <x:v>46784</x:v>
      </x:c>
      <x:c r="U167" s="111" t="n">
        <x:f>EDATE(T167,1)</x:f>
        <x:v>46813</x:v>
      </x:c>
      <x:c r="V167" s="111" t="n">
        <x:f>EDATE(U167,1)</x:f>
        <x:v>46844</x:v>
      </x:c>
      <x:c r="W167" s="111" t="n">
        <x:f>EDATE(V167,1)</x:f>
        <x:v>46874</x:v>
      </x:c>
      <x:c r="X167" s="111" t="n">
        <x:f>EDATE(W167,1)</x:f>
        <x:v>46905</x:v>
      </x:c>
      <x:c r="Y167" s="111" t="n">
        <x:f>EDATE(X167,1)</x:f>
        <x:v>46935</x:v>
      </x:c>
      <x:c r="Z167" s="111" t="n">
        <x:f>EDATE(Y167,1)</x:f>
        <x:v>46966</x:v>
      </x:c>
      <x:c r="AA167" s="111" t="n">
        <x:f>EDATE(Z167,1)</x:f>
        <x:v>46997</x:v>
      </x:c>
      <x:c r="AB167" s="111" t="n">
        <x:f>EDATE(AA167,1)</x:f>
        <x:v>47027</x:v>
      </x:c>
      <x:c r="AC167" s="111" t="n">
        <x:f>EDATE(AB167,1)</x:f>
        <x:v>47058</x:v>
      </x:c>
      <x:c r="AD167" s="111" t="n">
        <x:f>EDATE(AC167,1)</x:f>
        <x:v>47088</x:v>
      </x:c>
      <x:c r="AE167" s="111" t="n">
        <x:f>EDATE(AD167,1)</x:f>
        <x:v>47119</x:v>
      </x:c>
      <x:c r="AF167" s="111" t="n">
        <x:f>EDATE(AE167,1)</x:f>
        <x:v>47150</x:v>
      </x:c>
      <x:c r="AG167" s="111" t="n">
        <x:f>EDATE(AF167,1)</x:f>
        <x:v>47178</x:v>
      </x:c>
      <x:c r="AH167" s="111" t="n">
        <x:f>EDATE(AG167,1)</x:f>
        <x:v>47209</x:v>
      </x:c>
      <x:c r="AI167" s="111" t="n">
        <x:f>EDATE(AH167,1)</x:f>
        <x:v>47239</x:v>
      </x:c>
      <x:c r="AJ167" s="111" t="n">
        <x:f>EDATE(AI167,1)</x:f>
        <x:v>47270</x:v>
      </x:c>
      <x:c r="AK167" s="111" t="n">
        <x:f>EDATE(AJ167,1)</x:f>
        <x:v>47300</x:v>
      </x:c>
      <x:c r="AL167" s="111" t="n">
        <x:f>EDATE(AK167,1)</x:f>
        <x:v>47331</x:v>
      </x:c>
    </x:row>
    <x:row r="168">
      <x:c r="A168" s="63" t="str">
        <x:v>PAID ACQUISITION + CUSTOMER COHORT</x:v>
      </x:c>
      <x:c r="B168" s="63" t="str"/>
      <x:c r="C168" s="112"/>
      <x:c r="D168" s="112"/>
      <x:c r="E168" s="112"/>
      <x:c r="F168" s="112"/>
      <x:c r="G168" s="112"/>
      <x:c r="H168" s="112"/>
      <x:c r="I168" s="112"/>
      <x:c r="J168" s="112"/>
      <x:c r="K168" s="112"/>
      <x:c r="L168" s="112"/>
      <x:c r="M168" s="112"/>
      <x:c r="N168" s="112"/>
      <x:c r="O168" s="112"/>
      <x:c r="P168" s="112"/>
      <x:c r="Q168" s="112"/>
      <x:c r="R168" s="112"/>
      <x:c r="S168" s="112"/>
      <x:c r="T168" s="112"/>
      <x:c r="U168" s="112"/>
      <x:c r="V168" s="112"/>
      <x:c r="W168" s="112"/>
      <x:c r="X168" s="112"/>
      <x:c r="Y168" s="112"/>
      <x:c r="Z168" s="112"/>
      <x:c r="AA168" s="112"/>
      <x:c r="AB168" s="112"/>
      <x:c r="AC168" s="112"/>
      <x:c r="AD168" s="112"/>
      <x:c r="AE168" s="112"/>
      <x:c r="AF168" s="112"/>
      <x:c r="AG168" s="112"/>
      <x:c r="AH168" s="112"/>
      <x:c r="AI168" s="112"/>
      <x:c r="AJ168" s="112"/>
      <x:c r="AK168" s="112"/>
      <x:c r="AL168" s="112"/>
    </x:row>
    <x:row r="169">
      <x:c r="A169" s="84" t="str">
        <x:v>Paid reviews</x:v>
      </x:c>
      <x:c r="B169" s="84" t="str">
        <x:v>count</x:v>
      </x:c>
      <x:c r="C169" s="113" t="n">
        <x:f>'Scenarios'!$E$25</x:f>
        <x:v>0.67</x:v>
      </x:c>
      <x:c r="D169" s="113" t="n">
        <x:f>'Scenarios'!$E$25</x:f>
        <x:v>0.67</x:v>
      </x:c>
      <x:c r="E169" s="113" t="n">
        <x:f>'Scenarios'!$E$25</x:f>
        <x:v>0.67</x:v>
      </x:c>
      <x:c r="F169" s="113" t="n">
        <x:f>'Scenarios'!$E$26</x:f>
        <x:v>1</x:v>
      </x:c>
      <x:c r="G169" s="113" t="n">
        <x:f>'Scenarios'!$E$26</x:f>
        <x:v>1</x:v>
      </x:c>
      <x:c r="H169" s="113" t="n">
        <x:f>'Scenarios'!$E$26</x:f>
        <x:v>1</x:v>
      </x:c>
      <x:c r="I169" s="113" t="n">
        <x:f>'Scenarios'!$E$27</x:f>
        <x:v>1.25</x:v>
      </x:c>
      <x:c r="J169" s="113" t="n">
        <x:f>'Scenarios'!$E$27</x:f>
        <x:v>1.25</x:v>
      </x:c>
      <x:c r="K169" s="113" t="n">
        <x:f>'Scenarios'!$E$27</x:f>
        <x:v>1.25</x:v>
      </x:c>
      <x:c r="L169" s="113" t="n">
        <x:f>'Scenarios'!$E$27</x:f>
        <x:v>1.25</x:v>
      </x:c>
      <x:c r="M169" s="113" t="n">
        <x:f>'Scenarios'!$E$27</x:f>
        <x:v>1.25</x:v>
      </x:c>
      <x:c r="N169" s="113" t="n">
        <x:f>'Scenarios'!$E$27</x:f>
        <x:v>1.25</x:v>
      </x:c>
      <x:c r="O169" s="113" t="n">
        <x:f>'Scenarios'!$E$28</x:f>
        <x:v>1.5</x:v>
      </x:c>
      <x:c r="P169" s="113" t="n">
        <x:f>'Scenarios'!$E$28</x:f>
        <x:v>1.5</x:v>
      </x:c>
      <x:c r="Q169" s="113" t="n">
        <x:f>'Scenarios'!$E$28</x:f>
        <x:v>1.5</x:v>
      </x:c>
      <x:c r="R169" s="113" t="n">
        <x:f>'Scenarios'!$E$28</x:f>
        <x:v>1.5</x:v>
      </x:c>
      <x:c r="S169" s="113" t="n">
        <x:f>'Scenarios'!$E$28</x:f>
        <x:v>1.5</x:v>
      </x:c>
      <x:c r="T169" s="113" t="n">
        <x:f>'Scenarios'!$E$28</x:f>
        <x:v>1.5</x:v>
      </x:c>
      <x:c r="U169" s="113" t="n">
        <x:f>'Scenarios'!$E$29</x:f>
        <x:v>2</x:v>
      </x:c>
      <x:c r="V169" s="113" t="n">
        <x:f>'Scenarios'!$E$29</x:f>
        <x:v>2</x:v>
      </x:c>
      <x:c r="W169" s="113" t="n">
        <x:f>'Scenarios'!$E$29</x:f>
        <x:v>2</x:v>
      </x:c>
      <x:c r="X169" s="113" t="n">
        <x:f>'Scenarios'!$E$29</x:f>
        <x:v>2</x:v>
      </x:c>
      <x:c r="Y169" s="113" t="n">
        <x:f>'Scenarios'!$E$29</x:f>
        <x:v>2</x:v>
      </x:c>
      <x:c r="Z169" s="113" t="n">
        <x:f>'Scenarios'!$E$29</x:f>
        <x:v>2</x:v>
      </x:c>
      <x:c r="AA169" s="113" t="n">
        <x:f>'Scenarios'!$E$30</x:f>
        <x:v>2.5</x:v>
      </x:c>
      <x:c r="AB169" s="113" t="n">
        <x:f>'Scenarios'!$E$30</x:f>
        <x:v>2.5</x:v>
      </x:c>
      <x:c r="AC169" s="113" t="n">
        <x:f>'Scenarios'!$E$30</x:f>
        <x:v>2.5</x:v>
      </x:c>
      <x:c r="AD169" s="113" t="n">
        <x:f>'Scenarios'!$E$30</x:f>
        <x:v>2.5</x:v>
      </x:c>
      <x:c r="AE169" s="113" t="n">
        <x:f>'Scenarios'!$E$30</x:f>
        <x:v>2.5</x:v>
      </x:c>
      <x:c r="AF169" s="113" t="n">
        <x:f>'Scenarios'!$E$30</x:f>
        <x:v>2.5</x:v>
      </x:c>
      <x:c r="AG169" s="113" t="n">
        <x:f>'Scenarios'!$E$30</x:f>
        <x:v>2.5</x:v>
      </x:c>
      <x:c r="AH169" s="113" t="n">
        <x:f>'Scenarios'!$E$30</x:f>
        <x:v>2.5</x:v>
      </x:c>
      <x:c r="AI169" s="113" t="n">
        <x:f>'Scenarios'!$E$30</x:f>
        <x:v>2.5</x:v>
      </x:c>
      <x:c r="AJ169" s="113" t="n">
        <x:f>'Scenarios'!$E$30</x:f>
        <x:v>2.5</x:v>
      </x:c>
      <x:c r="AK169" s="113" t="n">
        <x:f>'Scenarios'!$E$30</x:f>
        <x:v>2.5</x:v>
      </x:c>
      <x:c r="AL169" s="113" t="n">
        <x:f>'Scenarios'!$E$30</x:f>
        <x:v>2.5</x:v>
      </x:c>
    </x:row>
    <x:row r="170">
      <x:c r="A170" s="84" t="str">
        <x:v>New launches</x:v>
      </x:c>
      <x:c r="B170" s="84" t="str">
        <x:v>count</x:v>
      </x:c>
      <x:c r="C170" s="113" t="n">
        <x:f>0</x:f>
        <x:v>0</x:v>
      </x:c>
      <x:c r="D170" s="113" t="n">
        <x:f>C169*'Scenarios'!$E$17</x:f>
        <x:v>0.469</x:v>
      </x:c>
      <x:c r="E170" s="113" t="n">
        <x:f>D169*'Scenarios'!$E$17</x:f>
        <x:v>0.469</x:v>
      </x:c>
      <x:c r="F170" s="113" t="n">
        <x:f>E169*'Scenarios'!$E$17</x:f>
        <x:v>0.469</x:v>
      </x:c>
      <x:c r="G170" s="113" t="n">
        <x:f>F169*'Scenarios'!$E$17</x:f>
        <x:v>0.7</x:v>
      </x:c>
      <x:c r="H170" s="113" t="n">
        <x:f>G169*'Scenarios'!$E$17</x:f>
        <x:v>0.7</x:v>
      </x:c>
      <x:c r="I170" s="113" t="n">
        <x:f>H169*'Scenarios'!$E$17</x:f>
        <x:v>0.7</x:v>
      </x:c>
      <x:c r="J170" s="113" t="n">
        <x:f>I169*'Scenarios'!$E$17</x:f>
        <x:v>0.875</x:v>
      </x:c>
      <x:c r="K170" s="113" t="n">
        <x:f>J169*'Scenarios'!$E$17</x:f>
        <x:v>0.875</x:v>
      </x:c>
      <x:c r="L170" s="113" t="n">
        <x:f>K169*'Scenarios'!$E$17</x:f>
        <x:v>0.875</x:v>
      </x:c>
      <x:c r="M170" s="113" t="n">
        <x:f>L169*'Scenarios'!$E$17</x:f>
        <x:v>0.875</x:v>
      </x:c>
      <x:c r="N170" s="113" t="n">
        <x:f>M169*'Scenarios'!$E$17</x:f>
        <x:v>0.875</x:v>
      </x:c>
      <x:c r="O170" s="113" t="n">
        <x:f>N169*'Scenarios'!$E$17</x:f>
        <x:v>0.875</x:v>
      </x:c>
      <x:c r="P170" s="113" t="n">
        <x:f>O169*'Scenarios'!$E$17</x:f>
        <x:v>1.0499999999999998</x:v>
      </x:c>
      <x:c r="Q170" s="113" t="n">
        <x:f>P169*'Scenarios'!$E$17</x:f>
        <x:v>1.0499999999999998</x:v>
      </x:c>
      <x:c r="R170" s="113" t="n">
        <x:f>Q169*'Scenarios'!$E$17</x:f>
        <x:v>1.0499999999999998</x:v>
      </x:c>
      <x:c r="S170" s="113" t="n">
        <x:f>R169*'Scenarios'!$E$17</x:f>
        <x:v>1.0499999999999998</x:v>
      </x:c>
      <x:c r="T170" s="113" t="n">
        <x:f>S169*'Scenarios'!$E$17</x:f>
        <x:v>1.0499999999999998</x:v>
      </x:c>
      <x:c r="U170" s="113" t="n">
        <x:f>T169*'Scenarios'!$E$17</x:f>
        <x:v>1.0499999999999998</x:v>
      </x:c>
      <x:c r="V170" s="113" t="n">
        <x:f>U169*'Scenarios'!$E$17</x:f>
        <x:v>1.4</x:v>
      </x:c>
      <x:c r="W170" s="113" t="n">
        <x:f>V169*'Scenarios'!$E$17</x:f>
        <x:v>1.4</x:v>
      </x:c>
      <x:c r="X170" s="113" t="n">
        <x:f>W169*'Scenarios'!$E$17</x:f>
        <x:v>1.4</x:v>
      </x:c>
      <x:c r="Y170" s="113" t="n">
        <x:f>X169*'Scenarios'!$E$17</x:f>
        <x:v>1.4</x:v>
      </x:c>
      <x:c r="Z170" s="113" t="n">
        <x:f>Y169*'Scenarios'!$E$17</x:f>
        <x:v>1.4</x:v>
      </x:c>
      <x:c r="AA170" s="113" t="n">
        <x:f>Z169*'Scenarios'!$E$17</x:f>
        <x:v>1.4</x:v>
      </x:c>
      <x:c r="AB170" s="113" t="n">
        <x:f>AA169*'Scenarios'!$E$17</x:f>
        <x:v>1.75</x:v>
      </x:c>
      <x:c r="AC170" s="113" t="n">
        <x:f>AB169*'Scenarios'!$E$17</x:f>
        <x:v>1.75</x:v>
      </x:c>
      <x:c r="AD170" s="113" t="n">
        <x:f>AC169*'Scenarios'!$E$17</x:f>
        <x:v>1.75</x:v>
      </x:c>
      <x:c r="AE170" s="113" t="n">
        <x:f>AD169*'Scenarios'!$E$17</x:f>
        <x:v>1.75</x:v>
      </x:c>
      <x:c r="AF170" s="113" t="n">
        <x:f>AE169*'Scenarios'!$E$17</x:f>
        <x:v>1.75</x:v>
      </x:c>
      <x:c r="AG170" s="113" t="n">
        <x:f>AF169*'Scenarios'!$E$17</x:f>
        <x:v>1.75</x:v>
      </x:c>
      <x:c r="AH170" s="113" t="n">
        <x:f>AG169*'Scenarios'!$E$17</x:f>
        <x:v>1.75</x:v>
      </x:c>
      <x:c r="AI170" s="113" t="n">
        <x:f>AH169*'Scenarios'!$E$17</x:f>
        <x:v>1.75</x:v>
      </x:c>
      <x:c r="AJ170" s="113" t="n">
        <x:f>AI169*'Scenarios'!$E$17</x:f>
        <x:v>1.75</x:v>
      </x:c>
      <x:c r="AK170" s="113" t="n">
        <x:f>AJ169*'Scenarios'!$E$17</x:f>
        <x:v>1.75</x:v>
      </x:c>
      <x:c r="AL170" s="113" t="n">
        <x:f>AK169*'Scenarios'!$E$17</x:f>
        <x:v>1.75</x:v>
      </x:c>
    </x:row>
    <x:row r="171">
      <x:c r="A171" s="84" t="str">
        <x:v>New managed accounts</x:v>
      </x:c>
      <x:c r="B171" s="84" t="str">
        <x:v>count</x:v>
      </x:c>
      <x:c r="C171" s="113" t="n">
        <x:f>0</x:f>
        <x:v>0</x:v>
      </x:c>
      <x:c r="D171" s="113" t="n">
        <x:f>C170*'Scenarios'!$E$18</x:f>
        <x:v>0</x:v>
      </x:c>
      <x:c r="E171" s="113" t="n">
        <x:f>D170*'Scenarios'!$E$18</x:f>
        <x:v>0.39864999999999995</x:v>
      </x:c>
      <x:c r="F171" s="113" t="n">
        <x:f>E170*'Scenarios'!$E$18</x:f>
        <x:v>0.39864999999999995</x:v>
      </x:c>
      <x:c r="G171" s="113" t="n">
        <x:f>F170*'Scenarios'!$E$18</x:f>
        <x:v>0.39864999999999995</x:v>
      </x:c>
      <x:c r="H171" s="113" t="n">
        <x:f>G170*'Scenarios'!$E$18</x:f>
        <x:v>0.595</x:v>
      </x:c>
      <x:c r="I171" s="113" t="n">
        <x:f>H170*'Scenarios'!$E$18</x:f>
        <x:v>0.595</x:v>
      </x:c>
      <x:c r="J171" s="113" t="n">
        <x:f>I170*'Scenarios'!$E$18</x:f>
        <x:v>0.595</x:v>
      </x:c>
      <x:c r="K171" s="113" t="n">
        <x:f>J170*'Scenarios'!$E$18</x:f>
        <x:v>0.74375</x:v>
      </x:c>
      <x:c r="L171" s="113" t="n">
        <x:f>K170*'Scenarios'!$E$18</x:f>
        <x:v>0.74375</x:v>
      </x:c>
      <x:c r="M171" s="113" t="n">
        <x:f>L170*'Scenarios'!$E$18</x:f>
        <x:v>0.74375</x:v>
      </x:c>
      <x:c r="N171" s="113" t="n">
        <x:f>M170*'Scenarios'!$E$18</x:f>
        <x:v>0.74375</x:v>
      </x:c>
      <x:c r="O171" s="113" t="n">
        <x:f>N170*'Scenarios'!$E$18</x:f>
        <x:v>0.74375</x:v>
      </x:c>
      <x:c r="P171" s="113" t="n">
        <x:f>O170*'Scenarios'!$E$18</x:f>
        <x:v>0.74375</x:v>
      </x:c>
      <x:c r="Q171" s="113" t="n">
        <x:f>P170*'Scenarios'!$E$18</x:f>
        <x:v>0.8924999999999998</x:v>
      </x:c>
      <x:c r="R171" s="113" t="n">
        <x:f>Q170*'Scenarios'!$E$18</x:f>
        <x:v>0.8924999999999998</x:v>
      </x:c>
      <x:c r="S171" s="113" t="n">
        <x:f>R170*'Scenarios'!$E$18</x:f>
        <x:v>0.8924999999999998</x:v>
      </x:c>
      <x:c r="T171" s="113" t="n">
        <x:f>S170*'Scenarios'!$E$18</x:f>
        <x:v>0.8924999999999998</x:v>
      </x:c>
      <x:c r="U171" s="113" t="n">
        <x:f>T170*'Scenarios'!$E$18</x:f>
        <x:v>0.8924999999999998</x:v>
      </x:c>
      <x:c r="V171" s="113" t="n">
        <x:f>U170*'Scenarios'!$E$18</x:f>
        <x:v>0.8924999999999998</x:v>
      </x:c>
      <x:c r="W171" s="113" t="n">
        <x:f>V170*'Scenarios'!$E$18</x:f>
        <x:v>1.19</x:v>
      </x:c>
      <x:c r="X171" s="113" t="n">
        <x:f>W170*'Scenarios'!$E$18</x:f>
        <x:v>1.19</x:v>
      </x:c>
      <x:c r="Y171" s="113" t="n">
        <x:f>X170*'Scenarios'!$E$18</x:f>
        <x:v>1.19</x:v>
      </x:c>
      <x:c r="Z171" s="113" t="n">
        <x:f>Y170*'Scenarios'!$E$18</x:f>
        <x:v>1.19</x:v>
      </x:c>
      <x:c r="AA171" s="113" t="n">
        <x:f>Z170*'Scenarios'!$E$18</x:f>
        <x:v>1.19</x:v>
      </x:c>
      <x:c r="AB171" s="113" t="n">
        <x:f>AA170*'Scenarios'!$E$18</x:f>
        <x:v>1.19</x:v>
      </x:c>
      <x:c r="AC171" s="113" t="n">
        <x:f>AB170*'Scenarios'!$E$18</x:f>
        <x:v>1.4875</x:v>
      </x:c>
      <x:c r="AD171" s="113" t="n">
        <x:f>AC170*'Scenarios'!$E$18</x:f>
        <x:v>1.4875</x:v>
      </x:c>
      <x:c r="AE171" s="113" t="n">
        <x:f>AD170*'Scenarios'!$E$18</x:f>
        <x:v>1.4875</x:v>
      </x:c>
      <x:c r="AF171" s="113" t="n">
        <x:f>AE170*'Scenarios'!$E$18</x:f>
        <x:v>1.4875</x:v>
      </x:c>
      <x:c r="AG171" s="113" t="n">
        <x:f>AF170*'Scenarios'!$E$18</x:f>
        <x:v>1.4875</x:v>
      </x:c>
      <x:c r="AH171" s="113" t="n">
        <x:f>AG170*'Scenarios'!$E$18</x:f>
        <x:v>1.4875</x:v>
      </x:c>
      <x:c r="AI171" s="113" t="n">
        <x:f>AH170*'Scenarios'!$E$18</x:f>
        <x:v>1.4875</x:v>
      </x:c>
      <x:c r="AJ171" s="113" t="n">
        <x:f>AI170*'Scenarios'!$E$18</x:f>
        <x:v>1.4875</x:v>
      </x:c>
      <x:c r="AK171" s="113" t="n">
        <x:f>AJ170*'Scenarios'!$E$18</x:f>
        <x:v>1.4875</x:v>
      </x:c>
      <x:c r="AL171" s="113" t="n">
        <x:f>AK170*'Scenarios'!$E$18</x:f>
        <x:v>1.4875</x:v>
      </x:c>
    </x:row>
    <x:row r="172">
      <x:c r="A172" s="84" t="str">
        <x:v>Churned accounts</x:v>
      </x:c>
      <x:c r="B172" s="84" t="str">
        <x:v>count</x:v>
      </x:c>
      <x:c r="C172" s="113" t="n">
        <x:f>0</x:f>
        <x:v>0</x:v>
      </x:c>
      <x:c r="D172" s="113" t="n">
        <x:f>C173*'Scenarios'!$E$8</x:f>
        <x:v>0</x:v>
      </x:c>
      <x:c r="E172" s="113" t="n">
        <x:f>D173*'Scenarios'!$E$8</x:f>
        <x:v>0</x:v>
      </x:c>
      <x:c r="F172" s="113" t="n">
        <x:f>E173*'Scenarios'!$E$8</x:f>
        <x:v>0.0039865</x:v>
      </x:c>
      <x:c r="G172" s="113" t="n">
        <x:f>F173*'Scenarios'!$E$8</x:f>
        <x:v>0.007933135</x:v>
      </x:c>
      <x:c r="H172" s="113" t="n">
        <x:f>G173*'Scenarios'!$E$8</x:f>
        <x:v>0.01184030365</x:v>
      </x:c>
      <x:c r="I172" s="113" t="n">
        <x:f>H173*'Scenarios'!$E$8</x:f>
        <x:v>0.017671900613499998</x:v>
      </x:c>
      <x:c r="J172" s="113" t="n">
        <x:f>I173*'Scenarios'!$E$8</x:f>
        <x:v>0.023445181607364998</x:v>
      </x:c>
      <x:c r="K172" s="113" t="n">
        <x:f>J173*'Scenarios'!$E$8</x:f>
        <x:v>0.029160729791291348</x:v>
      </x:c>
      <x:c r="L172" s="113" t="n">
        <x:f>K173*'Scenarios'!$E$8</x:f>
        <x:v>0.03630662249337843</x:v>
      </x:c>
      <x:c r="M172" s="113" t="n">
        <x:f>L173*'Scenarios'!$E$8</x:f>
        <x:v>0.04338105626844465</x:v>
      </x:c>
      <x:c r="N172" s="113" t="n">
        <x:f>M173*'Scenarios'!$E$8</x:f>
        <x:v>0.05038474570576021</x:v>
      </x:c>
      <x:c r="O172" s="113" t="n">
        <x:f>N173*'Scenarios'!$E$8</x:f>
        <x:v>0.05731839824870261</x:v>
      </x:c>
      <x:c r="P172" s="113" t="n">
        <x:f>O173*'Scenarios'!$E$8</x:f>
        <x:v>0.06418271426621558</x:v>
      </x:c>
      <x:c r="Q172" s="113" t="n">
        <x:f>P173*'Scenarios'!$E$8</x:f>
        <x:v>0.07097838712355344</x:v>
      </x:c>
      <x:c r="R172" s="113" t="n">
        <x:f>Q173*'Scenarios'!$E$8</x:f>
        <x:v>0.07919360325231789</x:v>
      </x:c>
      <x:c r="S172" s="113" t="n">
        <x:f>R173*'Scenarios'!$E$8</x:f>
        <x:v>0.08732666721979472</x:v>
      </x:c>
      <x:c r="T172" s="113" t="n">
        <x:f>S173*'Scenarios'!$E$8</x:f>
        <x:v>0.09537840054759678</x:v>
      </x:c>
      <x:c r="U172" s="113" t="n">
        <x:f>T173*'Scenarios'!$E$8</x:f>
        <x:v>0.1033496165421208</x:v>
      </x:c>
      <x:c r="V172" s="113" t="n">
        <x:f>U173*'Scenarios'!$E$8</x:f>
        <x:v>0.1112411203766996</x:v>
      </x:c>
      <x:c r="W172" s="113" t="n">
        <x:f>V173*'Scenarios'!$E$8</x:f>
        <x:v>0.11905370917293259</x:v>
      </x:c>
      <x:c r="X172" s="113" t="n">
        <x:f>W173*'Scenarios'!$E$8</x:f>
        <x:v>0.12976317208120328</x:v>
      </x:c>
      <x:c r="Y172" s="113" t="n">
        <x:f>X173*'Scenarios'!$E$8</x:f>
        <x:v>0.14036554036039123</x:v>
      </x:c>
      <x:c r="Z172" s="113" t="n">
        <x:f>Y173*'Scenarios'!$E$8</x:f>
        <x:v>0.1508618849567873</x:v>
      </x:c>
      <x:c r="AA172" s="113" t="n">
        <x:f>Z173*'Scenarios'!$E$8</x:f>
        <x:v>0.16125326610721943</x:v>
      </x:c>
      <x:c r="AB172" s="113" t="n">
        <x:f>AA173*'Scenarios'!$E$8</x:f>
        <x:v>0.17154073344614723</x:v>
      </x:c>
      <x:c r="AC172" s="113" t="n">
        <x:f>AB173*'Scenarios'!$E$8</x:f>
        <x:v>0.18172532611168576</x:v>
      </x:c>
      <x:c r="AD172" s="113" t="n">
        <x:f>AC173*'Scenarios'!$E$8</x:f>
        <x:v>0.19478307285056892</x:v>
      </x:c>
      <x:c r="AE172" s="113" t="n">
        <x:f>AD173*'Scenarios'!$E$8</x:f>
        <x:v>0.20771024212206324</x:v>
      </x:c>
      <x:c r="AF172" s="113" t="n">
        <x:f>AE173*'Scenarios'!$E$8</x:f>
        <x:v>0.22050813970084263</x:v>
      </x:c>
      <x:c r="AG172" s="113" t="n">
        <x:f>AF173*'Scenarios'!$E$8</x:f>
        <x:v>0.2331780583038342</x:v>
      </x:c>
      <x:c r="AH172" s="113" t="n">
        <x:f>AG173*'Scenarios'!$E$8</x:f>
        <x:v>0.24572127772079586</x:v>
      </x:c>
      <x:c r="AI172" s="113" t="n">
        <x:f>AH173*'Scenarios'!$E$8</x:f>
        <x:v>0.2581390649435879</x:v>
      </x:c>
      <x:c r="AJ172" s="113" t="n">
        <x:f>AI173*'Scenarios'!$E$8</x:f>
        <x:v>0.270432674294152</x:v>
      </x:c>
      <x:c r="AK172" s="113" t="n">
        <x:f>AJ173*'Scenarios'!$E$8</x:f>
        <x:v>0.2826033475512105</x:v>
      </x:c>
      <x:c r="AL172" s="113" t="n">
        <x:f>AK173*'Scenarios'!$E$8</x:f>
        <x:v>0.2946523140756984</x:v>
      </x:c>
    </x:row>
    <x:row r="173">
      <x:c r="A173" s="84" t="str">
        <x:v>Active managed accounts</x:v>
      </x:c>
      <x:c r="B173" s="84" t="str">
        <x:v>count</x:v>
      </x:c>
      <x:c r="C173" s="113" t="n">
        <x:f>C171</x:f>
        <x:v>0</x:v>
      </x:c>
      <x:c r="D173" s="113" t="n">
        <x:f>C173-D172+D171</x:f>
        <x:v>0</x:v>
      </x:c>
      <x:c r="E173" s="113" t="n">
        <x:f>D173-E172+E171</x:f>
        <x:v>0.39864999999999995</x:v>
      </x:c>
      <x:c r="F173" s="113" t="n">
        <x:f>E173-F172+F171</x:f>
        <x:v>0.7933134999999999</x:v>
      </x:c>
      <x:c r="G173" s="113" t="n">
        <x:f>F173-G172+G171</x:f>
        <x:v>1.184030365</x:v>
      </x:c>
      <x:c r="H173" s="113" t="n">
        <x:f>G173-H172+H171</x:f>
        <x:v>1.7671900613499998</x:v>
      </x:c>
      <x:c r="I173" s="113" t="n">
        <x:f>H173-I172+I171</x:f>
        <x:v>2.3445181607364995</x:v>
      </x:c>
      <x:c r="J173" s="113" t="n">
        <x:f>I173-J172+J171</x:f>
        <x:v>2.916072979129135</x:v>
      </x:c>
      <x:c r="K173" s="113" t="n">
        <x:f>J173-K172+K171</x:f>
        <x:v>3.6306622493378433</x:v>
      </x:c>
      <x:c r="L173" s="113" t="n">
        <x:f>K173-L172+L171</x:f>
        <x:v>4.338105626844465</x:v>
      </x:c>
      <x:c r="M173" s="113" t="n">
        <x:f>L173-M172+M171</x:f>
        <x:v>5.038474570576021</x:v>
      </x:c>
      <x:c r="N173" s="113" t="n">
        <x:f>M173-N172+N171</x:f>
        <x:v>5.731839824870261</x:v>
      </x:c>
      <x:c r="O173" s="113" t="n">
        <x:f>N173-O172+O171</x:f>
        <x:v>6.418271426621558</x:v>
      </x:c>
      <x:c r="P173" s="113" t="n">
        <x:f>O173-P172+P171</x:f>
        <x:v>7.097838712355343</x:v>
      </x:c>
      <x:c r="Q173" s="113" t="n">
        <x:f>P173-Q172+Q171</x:f>
        <x:v>7.919360325231789</x:v>
      </x:c>
      <x:c r="R173" s="113" t="n">
        <x:f>Q173-R172+R171</x:f>
        <x:v>8.732666721979472</x:v>
      </x:c>
      <x:c r="S173" s="113" t="n">
        <x:f>R173-S172+S171</x:f>
        <x:v>9.537840054759677</x:v>
      </x:c>
      <x:c r="T173" s="113" t="n">
        <x:f>S173-T172+T171</x:f>
        <x:v>10.33496165421208</x:v>
      </x:c>
      <x:c r="U173" s="113" t="n">
        <x:f>T173-U172+U171</x:f>
        <x:v>11.12411203766996</x:v>
      </x:c>
      <x:c r="V173" s="113" t="n">
        <x:f>U173-V172+V171</x:f>
        <x:v>11.90537091729326</x:v>
      </x:c>
      <x:c r="W173" s="113" t="n">
        <x:f>V173-W172+W171</x:f>
        <x:v>12.976317208120326</x:v>
      </x:c>
      <x:c r="X173" s="113" t="n">
        <x:f>W173-X172+X171</x:f>
        <x:v>14.036554036039123</x:v>
      </x:c>
      <x:c r="Y173" s="113" t="n">
        <x:f>X173-Y172+Y171</x:f>
        <x:v>15.08618849567873</x:v>
      </x:c>
      <x:c r="Z173" s="113" t="n">
        <x:f>Y173-Z172+Z171</x:f>
        <x:v>16.12532661072194</x:v>
      </x:c>
      <x:c r="AA173" s="113" t="n">
        <x:f>Z173-AA172+AA171</x:f>
        <x:v>17.154073344614723</x:v>
      </x:c>
      <x:c r="AB173" s="113" t="n">
        <x:f>AA173-AB172+AB171</x:f>
        <x:v>18.172532611168577</x:v>
      </x:c>
      <x:c r="AC173" s="113" t="n">
        <x:f>AB173-AC172+AC171</x:f>
        <x:v>19.478307285056893</x:v>
      </x:c>
      <x:c r="AD173" s="113" t="n">
        <x:f>AC173-AD172+AD171</x:f>
        <x:v>20.771024212206324</x:v>
      </x:c>
      <x:c r="AE173" s="113" t="n">
        <x:f>AD173-AE172+AE171</x:f>
        <x:v>22.050813970084263</x:v>
      </x:c>
      <x:c r="AF173" s="113" t="n">
        <x:f>AE173-AF172+AF171</x:f>
        <x:v>23.31780583038342</x:v>
      </x:c>
      <x:c r="AG173" s="113" t="n">
        <x:f>AF173-AG172+AG171</x:f>
        <x:v>24.572127772079586</x:v>
      </x:c>
      <x:c r="AH173" s="113" t="n">
        <x:f>AG173-AH172+AH171</x:f>
        <x:v>25.81390649435879</x:v>
      </x:c>
      <x:c r="AI173" s="113" t="n">
        <x:f>AH173-AI172+AI171</x:f>
        <x:v>27.043267429415202</x:v>
      </x:c>
      <x:c r="AJ173" s="113" t="n">
        <x:f>AI173-AJ172+AJ171</x:f>
        <x:v>28.26033475512105</x:v>
      </x:c>
      <x:c r="AK173" s="113" t="n">
        <x:f>AJ173-AK172+AK171</x:f>
        <x:v>29.465231407569842</x:v>
      </x:c>
      <x:c r="AL173" s="113" t="n">
        <x:f>AK173-AL172+AL171</x:f>
        <x:v>30.658079093494145</x:v>
      </x:c>
    </x:row>
    <x:row r="174">
      <x:c r="A174" s="84" t="str">
        <x:v>Core active accounts</x:v>
      </x:c>
      <x:c r="B174" s="84" t="str">
        <x:v>count</x:v>
      </x:c>
      <x:c r="C174" s="113" t="n">
        <x:f>C173*'Scenarios'!$E$14</x:f>
        <x:v>0</x:v>
      </x:c>
      <x:c r="D174" s="113" t="n">
        <x:f>D173*'Scenarios'!$E$14</x:f>
        <x:v>0</x:v>
      </x:c>
      <x:c r="E174" s="113" t="n">
        <x:f>E173*'Scenarios'!$E$14</x:f>
        <x:v>0.07973</x:v>
      </x:c>
      <x:c r="F174" s="113" t="n">
        <x:f>F173*'Scenarios'!$E$14</x:f>
        <x:v>0.1586627</x:v>
      </x:c>
      <x:c r="G174" s="113" t="n">
        <x:f>G173*'Scenarios'!$E$14</x:f>
        <x:v>0.236806073</x:v>
      </x:c>
      <x:c r="H174" s="113" t="n">
        <x:f>H173*'Scenarios'!$E$14</x:f>
        <x:v>0.35343801227</x:v>
      </x:c>
      <x:c r="I174" s="113" t="n">
        <x:f>I173*'Scenarios'!$E$14</x:f>
        <x:v>0.4689036321472999</x:v>
      </x:c>
      <x:c r="J174" s="113" t="n">
        <x:f>J173*'Scenarios'!$E$14</x:f>
        <x:v>0.583214595825827</x:v>
      </x:c>
      <x:c r="K174" s="113" t="n">
        <x:f>K173*'Scenarios'!$E$14</x:f>
        <x:v>0.7261324498675688</x:v>
      </x:c>
      <x:c r="L174" s="113" t="n">
        <x:f>L173*'Scenarios'!$E$14</x:f>
        <x:v>0.867621125368893</x:v>
      </x:c>
      <x:c r="M174" s="113" t="n">
        <x:f>M173*'Scenarios'!$E$14</x:f>
        <x:v>1.0076949141152043</x:v>
      </x:c>
      <x:c r="N174" s="113" t="n">
        <x:f>N173*'Scenarios'!$E$14</x:f>
        <x:v>1.1463679649740521</x:v>
      </x:c>
      <x:c r="O174" s="113" t="n">
        <x:f>O173*'Scenarios'!$E$14</x:f>
        <x:v>1.2836542853243118</x:v>
      </x:c>
      <x:c r="P174" s="113" t="n">
        <x:f>P173*'Scenarios'!$E$14</x:f>
        <x:v>1.4195677424710686</x:v>
      </x:c>
      <x:c r="Q174" s="113" t="n">
        <x:f>Q173*'Scenarios'!$E$14</x:f>
        <x:v>1.583872065046358</x:v>
      </x:c>
      <x:c r="R174" s="113" t="n">
        <x:f>R173*'Scenarios'!$E$14</x:f>
        <x:v>1.7465333443958944</x:v>
      </x:c>
      <x:c r="S174" s="113" t="n">
        <x:f>S173*'Scenarios'!$E$14</x:f>
        <x:v>1.9075680109519355</x:v>
      </x:c>
      <x:c r="T174" s="113" t="n">
        <x:f>T173*'Scenarios'!$E$14</x:f>
        <x:v>2.066992330842416</x:v>
      </x:c>
      <x:c r="U174" s="113" t="n">
        <x:f>U173*'Scenarios'!$E$14</x:f>
        <x:v>2.224822407533992</x:v>
      </x:c>
      <x:c r="V174" s="113" t="n">
        <x:f>V173*'Scenarios'!$E$14</x:f>
        <x:v>2.381074183458652</x:v>
      </x:c>
      <x:c r="W174" s="113" t="n">
        <x:f>W173*'Scenarios'!$E$14</x:f>
        <x:v>2.5952634416240654</x:v>
      </x:c>
      <x:c r="X174" s="113" t="n">
        <x:f>X173*'Scenarios'!$E$14</x:f>
        <x:v>2.8073108072078248</x:v>
      </x:c>
      <x:c r="Y174" s="113" t="n">
        <x:f>Y173*'Scenarios'!$E$14</x:f>
        <x:v>3.0172376991357464</x:v>
      </x:c>
      <x:c r="Z174" s="113" t="n">
        <x:f>Z173*'Scenarios'!$E$14</x:f>
        <x:v>3.2250653221443883</x:v>
      </x:c>
      <x:c r="AA174" s="113" t="n">
        <x:f>AA173*'Scenarios'!$E$14</x:f>
        <x:v>3.430814668922945</x:v>
      </x:c>
      <x:c r="AB174" s="113" t="n">
        <x:f>AB173*'Scenarios'!$E$14</x:f>
        <x:v>3.634506522233716</x:v>
      </x:c>
      <x:c r="AC174" s="113" t="n">
        <x:f>AC173*'Scenarios'!$E$14</x:f>
        <x:v>3.8956614570113786</x:v>
      </x:c>
      <x:c r="AD174" s="113" t="n">
        <x:f>AD173*'Scenarios'!$E$14</x:f>
        <x:v>4.154204842441265</x:v>
      </x:c>
      <x:c r="AE174" s="113" t="n">
        <x:f>AE173*'Scenarios'!$E$14</x:f>
        <x:v>4.410162794016853</x:v>
      </x:c>
      <x:c r="AF174" s="113" t="n">
        <x:f>AF173*'Scenarios'!$E$14</x:f>
        <x:v>4.6635611660766845</x:v>
      </x:c>
      <x:c r="AG174" s="113" t="n">
        <x:f>AG173*'Scenarios'!$E$14</x:f>
        <x:v>4.914425554415917</x:v>
      </x:c>
      <x:c r="AH174" s="113" t="n">
        <x:f>AH173*'Scenarios'!$E$14</x:f>
        <x:v>5.162781298871758</x:v>
      </x:c>
      <x:c r="AI174" s="113" t="n">
        <x:f>AI173*'Scenarios'!$E$14</x:f>
        <x:v>5.408653485883041</x:v>
      </x:c>
      <x:c r="AJ174" s="113" t="n">
        <x:f>AJ173*'Scenarios'!$E$14</x:f>
        <x:v>5.65206695102421</x:v>
      </x:c>
      <x:c r="AK174" s="113" t="n">
        <x:f>AK173*'Scenarios'!$E$14</x:f>
        <x:v>5.893046281513969</x:v>
      </x:c>
      <x:c r="AL174" s="113" t="n">
        <x:f>AL173*'Scenarios'!$E$14</x:f>
        <x:v>6.13161581869883</x:v>
      </x:c>
    </x:row>
    <x:row r="175">
      <x:c r="A175" s="84" t="str">
        <x:v>Operate active accounts</x:v>
      </x:c>
      <x:c r="B175" s="84" t="str">
        <x:v>count</x:v>
      </x:c>
      <x:c r="C175" s="113" t="n">
        <x:f>C173*'Scenarios'!$E$15</x:f>
        <x:v>0</x:v>
      </x:c>
      <x:c r="D175" s="113" t="n">
        <x:f>D173*'Scenarios'!$E$15</x:f>
        <x:v>0</x:v>
      </x:c>
      <x:c r="E175" s="113" t="n">
        <x:f>E173*'Scenarios'!$E$15</x:f>
        <x:v>0.19932499999999997</x:v>
      </x:c>
      <x:c r="F175" s="113" t="n">
        <x:f>F173*'Scenarios'!$E$15</x:f>
        <x:v>0.39665674999999995</x:v>
      </x:c>
      <x:c r="G175" s="113" t="n">
        <x:f>G173*'Scenarios'!$E$15</x:f>
        <x:v>0.5920151825</x:v>
      </x:c>
      <x:c r="H175" s="113" t="n">
        <x:f>H173*'Scenarios'!$E$15</x:f>
        <x:v>0.8835950306749999</x:v>
      </x:c>
      <x:c r="I175" s="113" t="n">
        <x:f>I173*'Scenarios'!$E$15</x:f>
        <x:v>1.1722590803682498</x:v>
      </x:c>
      <x:c r="J175" s="113" t="n">
        <x:f>J173*'Scenarios'!$E$15</x:f>
        <x:v>1.4580364895645674</x:v>
      </x:c>
      <x:c r="K175" s="113" t="n">
        <x:f>K173*'Scenarios'!$E$15</x:f>
        <x:v>1.8153311246689217</x:v>
      </x:c>
      <x:c r="L175" s="113" t="n">
        <x:f>L173*'Scenarios'!$E$15</x:f>
        <x:v>2.1690528134222324</x:v>
      </x:c>
      <x:c r="M175" s="113" t="n">
        <x:f>M173*'Scenarios'!$E$15</x:f>
        <x:v>2.5192372852880105</x:v>
      </x:c>
      <x:c r="N175" s="113" t="n">
        <x:f>N173*'Scenarios'!$E$15</x:f>
        <x:v>2.8659199124351304</x:v>
      </x:c>
      <x:c r="O175" s="113" t="n">
        <x:f>O173*'Scenarios'!$E$15</x:f>
        <x:v>3.209135713310779</x:v>
      </x:c>
      <x:c r="P175" s="113" t="n">
        <x:f>P173*'Scenarios'!$E$15</x:f>
        <x:v>3.5489193561776715</x:v>
      </x:c>
      <x:c r="Q175" s="113" t="n">
        <x:f>Q173*'Scenarios'!$E$15</x:f>
        <x:v>3.9596801626158946</x:v>
      </x:c>
      <x:c r="R175" s="113" t="n">
        <x:f>R173*'Scenarios'!$E$15</x:f>
        <x:v>4.366333360989736</x:v>
      </x:c>
      <x:c r="S175" s="113" t="n">
        <x:f>S173*'Scenarios'!$E$15</x:f>
        <x:v>4.7689200273798384</x:v>
      </x:c>
      <x:c r="T175" s="113" t="n">
        <x:f>T173*'Scenarios'!$E$15</x:f>
        <x:v>5.16748082710604</x:v>
      </x:c>
      <x:c r="U175" s="113" t="n">
        <x:f>U173*'Scenarios'!$E$15</x:f>
        <x:v>5.56205601883498</x:v>
      </x:c>
      <x:c r="V175" s="113" t="n">
        <x:f>V173*'Scenarios'!$E$15</x:f>
        <x:v>5.95268545864663</x:v>
      </x:c>
      <x:c r="W175" s="113" t="n">
        <x:f>W173*'Scenarios'!$E$15</x:f>
        <x:v>6.488158604060163</x:v>
      </x:c>
      <x:c r="X175" s="113" t="n">
        <x:f>X173*'Scenarios'!$E$15</x:f>
        <x:v>7.018277018019561</x:v>
      </x:c>
      <x:c r="Y175" s="113" t="n">
        <x:f>Y173*'Scenarios'!$E$15</x:f>
        <x:v>7.543094247839365</x:v>
      </x:c>
      <x:c r="Z175" s="113" t="n">
        <x:f>Z173*'Scenarios'!$E$15</x:f>
        <x:v>8.06266330536097</x:v>
      </x:c>
      <x:c r="AA175" s="113" t="n">
        <x:f>AA173*'Scenarios'!$E$15</x:f>
        <x:v>8.577036672307361</x:v>
      </x:c>
      <x:c r="AB175" s="113" t="n">
        <x:f>AB173*'Scenarios'!$E$15</x:f>
        <x:v>9.086266305584289</x:v>
      </x:c>
      <x:c r="AC175" s="113" t="n">
        <x:f>AC173*'Scenarios'!$E$15</x:f>
        <x:v>9.739153642528446</x:v>
      </x:c>
      <x:c r="AD175" s="113" t="n">
        <x:f>AD173*'Scenarios'!$E$15</x:f>
        <x:v>10.385512106103162</x:v>
      </x:c>
      <x:c r="AE175" s="113" t="n">
        <x:f>AE173*'Scenarios'!$E$15</x:f>
        <x:v>11.025406985042132</x:v>
      </x:c>
      <x:c r="AF175" s="113" t="n">
        <x:f>AF173*'Scenarios'!$E$15</x:f>
        <x:v>11.65890291519171</x:v>
      </x:c>
      <x:c r="AG175" s="113" t="n">
        <x:f>AG173*'Scenarios'!$E$15</x:f>
        <x:v>12.286063886039793</x:v>
      </x:c>
      <x:c r="AH175" s="113" t="n">
        <x:f>AH173*'Scenarios'!$E$15</x:f>
        <x:v>12.906953247179395</x:v>
      </x:c>
      <x:c r="AI175" s="113" t="n">
        <x:f>AI173*'Scenarios'!$E$15</x:f>
        <x:v>13.521633714707601</x:v>
      </x:c>
      <x:c r="AJ175" s="113" t="n">
        <x:f>AJ173*'Scenarios'!$E$15</x:f>
        <x:v>14.130167377560525</x:v>
      </x:c>
      <x:c r="AK175" s="113" t="n">
        <x:f>AK173*'Scenarios'!$E$15</x:f>
        <x:v>14.732615703784921</x:v>
      </x:c>
      <x:c r="AL175" s="113" t="n">
        <x:f>AL173*'Scenarios'!$E$15</x:f>
        <x:v>15.329039546747072</x:v>
      </x:c>
    </x:row>
    <x:row r="176">
      <x:c r="A176" s="84" t="str">
        <x:v>Scale active accounts</x:v>
      </x:c>
      <x:c r="B176" s="84" t="str">
        <x:v>count</x:v>
      </x:c>
      <x:c r="C176" s="113" t="n">
        <x:f>C173*'Scenarios'!$E$16</x:f>
        <x:v>0</x:v>
      </x:c>
      <x:c r="D176" s="113" t="n">
        <x:f>D173*'Scenarios'!$E$16</x:f>
        <x:v>0</x:v>
      </x:c>
      <x:c r="E176" s="113" t="n">
        <x:f>E173*'Scenarios'!$E$16</x:f>
        <x:v>0.11959499999999998</x:v>
      </x:c>
      <x:c r="F176" s="113" t="n">
        <x:f>F173*'Scenarios'!$E$16</x:f>
        <x:v>0.23799404999999996</x:v>
      </x:c>
      <x:c r="G176" s="113" t="n">
        <x:f>G173*'Scenarios'!$E$16</x:f>
        <x:v>0.35520910949999995</x:v>
      </x:c>
      <x:c r="H176" s="113" t="n">
        <x:f>H173*'Scenarios'!$E$16</x:f>
        <x:v>0.530157018405</x:v>
      </x:c>
      <x:c r="I176" s="113" t="n">
        <x:f>I173*'Scenarios'!$E$16</x:f>
        <x:v>0.7033554482209499</x:v>
      </x:c>
      <x:c r="J176" s="113" t="n">
        <x:f>J173*'Scenarios'!$E$16</x:f>
        <x:v>0.8748218937387404</x:v>
      </x:c>
      <x:c r="K176" s="113" t="n">
        <x:f>K173*'Scenarios'!$E$16</x:f>
        <x:v>1.089198674801353</x:v>
      </x:c>
      <x:c r="L176" s="113" t="n">
        <x:f>L173*'Scenarios'!$E$16</x:f>
        <x:v>1.3014316880533394</x:v>
      </x:c>
      <x:c r="M176" s="113" t="n">
        <x:f>M173*'Scenarios'!$E$16</x:f>
        <x:v>1.5115423711728062</x:v>
      </x:c>
      <x:c r="N176" s="113" t="n">
        <x:f>N173*'Scenarios'!$E$16</x:f>
        <x:v>1.7195519474610783</x:v>
      </x:c>
      <x:c r="O176" s="113" t="n">
        <x:f>O173*'Scenarios'!$E$16</x:f>
        <x:v>1.9254814279864674</x:v>
      </x:c>
      <x:c r="P176" s="113" t="n">
        <x:f>P173*'Scenarios'!$E$16</x:f>
        <x:v>2.1293516137066026</x:v>
      </x:c>
      <x:c r="Q176" s="113" t="n">
        <x:f>Q173*'Scenarios'!$E$16</x:f>
        <x:v>2.3758080975695366</x:v>
      </x:c>
      <x:c r="R176" s="113" t="n">
        <x:f>R173*'Scenarios'!$E$16</x:f>
        <x:v>2.6198000165938415</x:v>
      </x:c>
      <x:c r="S176" s="113" t="n">
        <x:f>S173*'Scenarios'!$E$16</x:f>
        <x:v>2.861352016427903</x:v>
      </x:c>
      <x:c r="T176" s="113" t="n">
        <x:f>T173*'Scenarios'!$E$16</x:f>
        <x:v>3.100488496263624</x:v>
      </x:c>
      <x:c r="U176" s="113" t="n">
        <x:f>U173*'Scenarios'!$E$16</x:f>
        <x:v>3.337233611300988</x:v>
      </x:c>
      <x:c r="V176" s="113" t="n">
        <x:f>V173*'Scenarios'!$E$16</x:f>
        <x:v>3.5716112751879776</x:v>
      </x:c>
      <x:c r="W176" s="113" t="n">
        <x:f>W173*'Scenarios'!$E$16</x:f>
        <x:v>3.8928951624360977</x:v>
      </x:c>
      <x:c r="X176" s="113" t="n">
        <x:f>X173*'Scenarios'!$E$16</x:f>
        <x:v>4.210966210811737</x:v>
      </x:c>
      <x:c r="Y176" s="113" t="n">
        <x:f>Y173*'Scenarios'!$E$16</x:f>
        <x:v>4.525856548703619</x:v>
      </x:c>
      <x:c r="Z176" s="113" t="n">
        <x:f>Z173*'Scenarios'!$E$16</x:f>
        <x:v>4.8375979832165825</x:v>
      </x:c>
      <x:c r="AA176" s="113" t="n">
        <x:f>AA173*'Scenarios'!$E$16</x:f>
        <x:v>5.146222003384417</x:v>
      </x:c>
      <x:c r="AB176" s="113" t="n">
        <x:f>AB173*'Scenarios'!$E$16</x:f>
        <x:v>5.451759783350573</x:v>
      </x:c>
      <x:c r="AC176" s="113" t="n">
        <x:f>AC173*'Scenarios'!$E$16</x:f>
        <x:v>5.843492185517068</x:v>
      </x:c>
      <x:c r="AD176" s="113" t="n">
        <x:f>AD173*'Scenarios'!$E$16</x:f>
        <x:v>6.231307263661897</x:v>
      </x:c>
      <x:c r="AE176" s="113" t="n">
        <x:f>AE173*'Scenarios'!$E$16</x:f>
        <x:v>6.615244191025279</x:v>
      </x:c>
      <x:c r="AF176" s="113" t="n">
        <x:f>AF173*'Scenarios'!$E$16</x:f>
        <x:v>6.995341749115026</x:v>
      </x:c>
      <x:c r="AG176" s="113" t="n">
        <x:f>AG173*'Scenarios'!$E$16</x:f>
        <x:v>7.371638331623876</x:v>
      </x:c>
      <x:c r="AH176" s="113" t="n">
        <x:f>AH173*'Scenarios'!$E$16</x:f>
        <x:v>7.7441719483076366</x:v>
      </x:c>
      <x:c r="AI176" s="113" t="n">
        <x:f>AI173*'Scenarios'!$E$16</x:f>
        <x:v>8.11298022882456</x:v>
      </x:c>
      <x:c r="AJ176" s="113" t="n">
        <x:f>AJ173*'Scenarios'!$E$16</x:f>
        <x:v>8.478100426536315</x:v>
      </x:c>
      <x:c r="AK176" s="113" t="n">
        <x:f>AK173*'Scenarios'!$E$16</x:f>
        <x:v>8.839569422270952</x:v>
      </x:c>
      <x:c r="AL176" s="113" t="n">
        <x:f>AL173*'Scenarios'!$E$16</x:f>
        <x:v>9.197423728048243</x:v>
      </x:c>
    </x:row>
    <x:row r="177">
      <x:c r="A177" s="84" t="str">
        <x:v>Expansion projects</x:v>
      </x:c>
      <x:c r="B177" s="84" t="str">
        <x:v>count</x:v>
      </x:c>
      <x:c r="C177" s="113" t="n">
        <x:f>C173*'Scenarios'!$E$19/12</x:f>
        <x:v>0</x:v>
      </x:c>
      <x:c r="D177" s="113" t="n">
        <x:f>D173*'Scenarios'!$E$19/12</x:f>
        <x:v>0</x:v>
      </x:c>
      <x:c r="E177" s="113" t="n">
        <x:f>E173*'Scenarios'!$E$19/12</x:f>
        <x:v>0.011627291666666664</x:v>
      </x:c>
      <x:c r="F177" s="113" t="n">
        <x:f>F173*'Scenarios'!$E$19/12</x:f>
        <x:v>0.023138310416666665</x:v>
      </x:c>
      <x:c r="G177" s="113" t="n">
        <x:f>G173*'Scenarios'!$E$19/12</x:f>
        <x:v>0.03453421897916666</x:v>
      </x:c>
      <x:c r="H177" s="113" t="n">
        <x:f>H173*'Scenarios'!$E$19/12</x:f>
        <x:v>0.05154304345604166</x:v>
      </x:c>
      <x:c r="I177" s="113" t="n">
        <x:f>I173*'Scenarios'!$E$19/12</x:f>
        <x:v>0.0683817796881479</x:v>
      </x:c>
      <x:c r="J177" s="113" t="n">
        <x:f>J173*'Scenarios'!$E$19/12</x:f>
        <x:v>0.0850521285579331</x:v>
      </x:c>
      <x:c r="K177" s="113" t="n">
        <x:f>K173*'Scenarios'!$E$19/12</x:f>
        <x:v>0.10589431560568709</x:v>
      </x:c>
      <x:c r="L177" s="113" t="n">
        <x:f>L173*'Scenarios'!$E$19/12</x:f>
        <x:v>0.12652808078296354</x:v>
      </x:c>
      <x:c r="M177" s="113" t="n">
        <x:f>M173*'Scenarios'!$E$19/12</x:f>
        <x:v>0.14695550830846726</x:v>
      </x:c>
      <x:c r="N177" s="113" t="n">
        <x:f>N173*'Scenarios'!$E$19/12</x:f>
        <x:v>0.16717866155871594</x:v>
      </x:c>
      <x:c r="O177" s="113" t="n">
        <x:f>O173*'Scenarios'!$E$19/12</x:f>
        <x:v>0.1871995832764621</x:v>
      </x:c>
      <x:c r="P177" s="113" t="n">
        <x:f>P173*'Scenarios'!$E$19/12</x:f>
        <x:v>0.20702029577703082</x:v>
      </x:c>
      <x:c r="Q177" s="113" t="n">
        <x:f>Q173*'Scenarios'!$E$19/12</x:f>
        <x:v>0.2309813428192605</x:v>
      </x:c>
      <x:c r="R177" s="113" t="n">
        <x:f>R173*'Scenarios'!$E$19/12</x:f>
        <x:v>0.25470277939106795</x:v>
      </x:c>
      <x:c r="S177" s="113" t="n">
        <x:f>S173*'Scenarios'!$E$19/12</x:f>
        <x:v>0.2781870015971572</x:v>
      </x:c>
      <x:c r="T177" s="113" t="n">
        <x:f>T173*'Scenarios'!$E$19/12</x:f>
        <x:v>0.30143638158118563</x:v>
      </x:c>
      <x:c r="U177" s="113" t="n">
        <x:f>U173*'Scenarios'!$E$19/12</x:f>
        <x:v>0.3244532677653738</x:v>
      </x:c>
      <x:c r="V177" s="113" t="n">
        <x:f>V173*'Scenarios'!$E$19/12</x:f>
        <x:v>0.3472399850877201</x:v>
      </x:c>
      <x:c r="W177" s="113" t="n">
        <x:f>W173*'Scenarios'!$E$19/12</x:f>
        <x:v>0.3784759185701762</x:v>
      </x:c>
      <x:c r="X177" s="113" t="n">
        <x:f>X173*'Scenarios'!$E$19/12</x:f>
        <x:v>0.40939949271780773</x:v>
      </x:c>
      <x:c r="Y177" s="113" t="n">
        <x:f>Y173*'Scenarios'!$E$19/12</x:f>
        <x:v>0.4400138311239629</x:v>
      </x:c>
      <x:c r="Z177" s="113" t="n">
        <x:f>Z173*'Scenarios'!$E$19/12</x:f>
        <x:v>0.4703220261460566</x:v>
      </x:c>
      <x:c r="AA177" s="113" t="n">
        <x:f>AA173*'Scenarios'!$E$19/12</x:f>
        <x:v>0.5003271392179294</x:v>
      </x:c>
      <x:c r="AB177" s="113" t="n">
        <x:f>AB173*'Scenarios'!$E$19/12</x:f>
        <x:v>0.5300322011590834</x:v>
      </x:c>
      <x:c r="AC177" s="113" t="n">
        <x:f>AC173*'Scenarios'!$E$19/12</x:f>
        <x:v>0.5681172958141594</x:v>
      </x:c>
      <x:c r="AD177" s="113" t="n">
        <x:f>AD173*'Scenarios'!$E$19/12</x:f>
        <x:v>0.6058215395226844</x:v>
      </x:c>
      <x:c r="AE177" s="113" t="n">
        <x:f>AE173*'Scenarios'!$E$19/12</x:f>
        <x:v>0.6431487407941243</x:v>
      </x:c>
      <x:c r="AF177" s="113" t="n">
        <x:f>AF173*'Scenarios'!$E$19/12</x:f>
        <x:v>0.6801026700528497</x:v>
      </x:c>
      <x:c r="AG177" s="113" t="n">
        <x:f>AG173*'Scenarios'!$E$19/12</x:f>
        <x:v>0.7166870600189879</x:v>
      </x:c>
      <x:c r="AH177" s="113" t="n">
        <x:f>AH173*'Scenarios'!$E$19/12</x:f>
        <x:v>0.7529056060854646</x:v>
      </x:c>
      <x:c r="AI177" s="113" t="n">
        <x:f>AI173*'Scenarios'!$E$19/12</x:f>
        <x:v>0.7887619666912767</x:v>
      </x:c>
      <x:c r="AJ177" s="113" t="n">
        <x:f>AJ173*'Scenarios'!$E$19/12</x:f>
        <x:v>0.8242597636910306</x:v>
      </x:c>
      <x:c r="AK177" s="113" t="n">
        <x:f>AK173*'Scenarios'!$E$19/12</x:f>
        <x:v>0.859402582720787</x:v>
      </x:c>
      <x:c r="AL177" s="113" t="n">
        <x:f>AL173*'Scenarios'!$E$19/12</x:f>
        <x:v>0.8941939735602458</x:v>
      </x:c>
    </x:row>
    <x:row r="178">
      <x:c r="A178" s="84" t="str">
        <x:v>Partner enablement projects</x:v>
      </x:c>
      <x:c r="B178" s="84" t="str">
        <x:v>count</x:v>
      </x:c>
      <x:c r="C178" s="113" t="n">
        <x:f>'Scenarios'!$E$21/12</x:f>
        <x:v>0.16666666666666666</x:v>
      </x:c>
      <x:c r="D178" s="113" t="n">
        <x:f>'Scenarios'!$E$21/12</x:f>
        <x:v>0.16666666666666666</x:v>
      </x:c>
      <x:c r="E178" s="113" t="n">
        <x:f>'Scenarios'!$E$21/12</x:f>
        <x:v>0.16666666666666666</x:v>
      </x:c>
      <x:c r="F178" s="113" t="n">
        <x:f>'Scenarios'!$E$21/12</x:f>
        <x:v>0.16666666666666666</x:v>
      </x:c>
      <x:c r="G178" s="113" t="n">
        <x:f>'Scenarios'!$E$21/12</x:f>
        <x:v>0.16666666666666666</x:v>
      </x:c>
      <x:c r="H178" s="113" t="n">
        <x:f>'Scenarios'!$E$21/12</x:f>
        <x:v>0.16666666666666666</x:v>
      </x:c>
      <x:c r="I178" s="113" t="n">
        <x:f>'Scenarios'!$E$21/12</x:f>
        <x:v>0.16666666666666666</x:v>
      </x:c>
      <x:c r="J178" s="113" t="n">
        <x:f>'Scenarios'!$E$21/12</x:f>
        <x:v>0.16666666666666666</x:v>
      </x:c>
      <x:c r="K178" s="113" t="n">
        <x:f>'Scenarios'!$E$21/12</x:f>
        <x:v>0.16666666666666666</x:v>
      </x:c>
      <x:c r="L178" s="113" t="n">
        <x:f>'Scenarios'!$E$21/12</x:f>
        <x:v>0.16666666666666666</x:v>
      </x:c>
      <x:c r="M178" s="113" t="n">
        <x:f>'Scenarios'!$E$21/12</x:f>
        <x:v>0.16666666666666666</x:v>
      </x:c>
      <x:c r="N178" s="113" t="n">
        <x:f>'Scenarios'!$E$21/12</x:f>
        <x:v>0.16666666666666666</x:v>
      </x:c>
      <x:c r="O178" s="113" t="n">
        <x:f>'Scenarios'!$E$22/12</x:f>
        <x:v>0.16666666666666666</x:v>
      </x:c>
      <x:c r="P178" s="113" t="n">
        <x:f>'Scenarios'!$E$22/12</x:f>
        <x:v>0.16666666666666666</x:v>
      </x:c>
      <x:c r="Q178" s="113" t="n">
        <x:f>'Scenarios'!$E$22/12</x:f>
        <x:v>0.16666666666666666</x:v>
      </x:c>
      <x:c r="R178" s="113" t="n">
        <x:f>'Scenarios'!$E$22/12</x:f>
        <x:v>0.16666666666666666</x:v>
      </x:c>
      <x:c r="S178" s="113" t="n">
        <x:f>'Scenarios'!$E$22/12</x:f>
        <x:v>0.16666666666666666</x:v>
      </x:c>
      <x:c r="T178" s="113" t="n">
        <x:f>'Scenarios'!$E$22/12</x:f>
        <x:v>0.16666666666666666</x:v>
      </x:c>
      <x:c r="U178" s="113" t="n">
        <x:f>'Scenarios'!$E$22/12</x:f>
        <x:v>0.16666666666666666</x:v>
      </x:c>
      <x:c r="V178" s="113" t="n">
        <x:f>'Scenarios'!$E$22/12</x:f>
        <x:v>0.16666666666666666</x:v>
      </x:c>
      <x:c r="W178" s="113" t="n">
        <x:f>'Scenarios'!$E$22/12</x:f>
        <x:v>0.16666666666666666</x:v>
      </x:c>
      <x:c r="X178" s="113" t="n">
        <x:f>'Scenarios'!$E$22/12</x:f>
        <x:v>0.16666666666666666</x:v>
      </x:c>
      <x:c r="Y178" s="113" t="n">
        <x:f>'Scenarios'!$E$22/12</x:f>
        <x:v>0.16666666666666666</x:v>
      </x:c>
      <x:c r="Z178" s="113" t="n">
        <x:f>'Scenarios'!$E$22/12</x:f>
        <x:v>0.16666666666666666</x:v>
      </x:c>
      <x:c r="AA178" s="113" t="n">
        <x:f>'Scenarios'!$E$23/12</x:f>
        <x:v>0.25</x:v>
      </x:c>
      <x:c r="AB178" s="113" t="n">
        <x:f>'Scenarios'!$E$23/12</x:f>
        <x:v>0.25</x:v>
      </x:c>
      <x:c r="AC178" s="113" t="n">
        <x:f>'Scenarios'!$E$23/12</x:f>
        <x:v>0.25</x:v>
      </x:c>
      <x:c r="AD178" s="113" t="n">
        <x:f>'Scenarios'!$E$23/12</x:f>
        <x:v>0.25</x:v>
      </x:c>
      <x:c r="AE178" s="113" t="n">
        <x:f>'Scenarios'!$E$23/12</x:f>
        <x:v>0.25</x:v>
      </x:c>
      <x:c r="AF178" s="113" t="n">
        <x:f>'Scenarios'!$E$23/12</x:f>
        <x:v>0.25</x:v>
      </x:c>
      <x:c r="AG178" s="113" t="n">
        <x:f>'Scenarios'!$E$23/12</x:f>
        <x:v>0.25</x:v>
      </x:c>
      <x:c r="AH178" s="113" t="n">
        <x:f>'Scenarios'!$E$23/12</x:f>
        <x:v>0.25</x:v>
      </x:c>
      <x:c r="AI178" s="113" t="n">
        <x:f>'Scenarios'!$E$23/12</x:f>
        <x:v>0.25</x:v>
      </x:c>
      <x:c r="AJ178" s="113" t="n">
        <x:f>'Scenarios'!$E$23/12</x:f>
        <x:v>0.25</x:v>
      </x:c>
      <x:c r="AK178" s="113" t="n">
        <x:f>'Scenarios'!$E$23/12</x:f>
        <x:v>0.25</x:v>
      </x:c>
      <x:c r="AL178" s="113" t="n">
        <x:f>'Scenarios'!$E$23/12</x:f>
        <x:v>0.25</x:v>
      </x:c>
    </x:row>
    <x:row r="179">
      <x:c r="A179" s="63" t="str">
        <x:v>REVENUE</x:v>
      </x:c>
      <x:c r="B179" s="63" t="str"/>
      <x:c r="C179" s="112"/>
      <x:c r="D179" s="112"/>
      <x:c r="E179" s="112"/>
      <x:c r="F179" s="112"/>
      <x:c r="G179" s="112"/>
      <x:c r="H179" s="112"/>
      <x:c r="I179" s="112"/>
      <x:c r="J179" s="112"/>
      <x:c r="K179" s="112"/>
      <x:c r="L179" s="112"/>
      <x:c r="M179" s="112"/>
      <x:c r="N179" s="112"/>
      <x:c r="O179" s="112"/>
      <x:c r="P179" s="112"/>
      <x:c r="Q179" s="112"/>
      <x:c r="R179" s="112"/>
      <x:c r="S179" s="112"/>
      <x:c r="T179" s="112"/>
      <x:c r="U179" s="112"/>
      <x:c r="V179" s="112"/>
      <x:c r="W179" s="112"/>
      <x:c r="X179" s="112"/>
      <x:c r="Y179" s="112"/>
      <x:c r="Z179" s="112"/>
      <x:c r="AA179" s="112"/>
      <x:c r="AB179" s="112"/>
      <x:c r="AC179" s="112"/>
      <x:c r="AD179" s="112"/>
      <x:c r="AE179" s="112"/>
      <x:c r="AF179" s="112"/>
      <x:c r="AG179" s="112"/>
      <x:c r="AH179" s="112"/>
      <x:c r="AI179" s="112"/>
      <x:c r="AJ179" s="112"/>
      <x:c r="AK179" s="112"/>
      <x:c r="AL179" s="112"/>
    </x:row>
    <x:row r="180">
      <x:c r="A180" s="84" t="str">
        <x:v>Review revenue</x:v>
      </x:c>
      <x:c r="B180" s="84" t="str">
        <x:v>$</x:v>
      </x:c>
      <x:c r="C180" s="114" t="n">
        <x:f>C169*'Scenarios'!$E$9*'Scenarios'!$E$5*(1-'Scenarios'!$E$6*'Scenarios'!$E$7)</x:f>
        <x:v>1635.6375</x:v>
      </x:c>
      <x:c r="D180" s="114" t="n">
        <x:f>D169*'Scenarios'!$E$9*'Scenarios'!$E$5*(1-'Scenarios'!$E$6*'Scenarios'!$E$7)</x:f>
        <x:v>1635.6375</x:v>
      </x:c>
      <x:c r="E180" s="114" t="n">
        <x:f>E169*'Scenarios'!$E$9*'Scenarios'!$E$5*(1-'Scenarios'!$E$6*'Scenarios'!$E$7)</x:f>
        <x:v>1635.6375</x:v>
      </x:c>
      <x:c r="F180" s="114" t="n">
        <x:f>F169*'Scenarios'!$E$9*'Scenarios'!$E$5*(1-'Scenarios'!$E$6*'Scenarios'!$E$7)</x:f>
        <x:v>2441.25</x:v>
      </x:c>
      <x:c r="G180" s="114" t="n">
        <x:f>G169*'Scenarios'!$E$9*'Scenarios'!$E$5*(1-'Scenarios'!$E$6*'Scenarios'!$E$7)</x:f>
        <x:v>2441.25</x:v>
      </x:c>
      <x:c r="H180" s="114" t="n">
        <x:f>H169*'Scenarios'!$E$9*'Scenarios'!$E$5*(1-'Scenarios'!$E$6*'Scenarios'!$E$7)</x:f>
        <x:v>2441.25</x:v>
      </x:c>
      <x:c r="I180" s="114" t="n">
        <x:f>I169*'Scenarios'!$E$9*'Scenarios'!$E$5*(1-'Scenarios'!$E$6*'Scenarios'!$E$7)</x:f>
        <x:v>3051.5625</x:v>
      </x:c>
      <x:c r="J180" s="114" t="n">
        <x:f>J169*'Scenarios'!$E$9*'Scenarios'!$E$5*(1-'Scenarios'!$E$6*'Scenarios'!$E$7)</x:f>
        <x:v>3051.5625</x:v>
      </x:c>
      <x:c r="K180" s="114" t="n">
        <x:f>K169*'Scenarios'!$E$9*'Scenarios'!$E$5*(1-'Scenarios'!$E$6*'Scenarios'!$E$7)</x:f>
        <x:v>3051.5625</x:v>
      </x:c>
      <x:c r="L180" s="114" t="n">
        <x:f>L169*'Scenarios'!$E$9*'Scenarios'!$E$5*(1-'Scenarios'!$E$6*'Scenarios'!$E$7)</x:f>
        <x:v>3051.5625</x:v>
      </x:c>
      <x:c r="M180" s="114" t="n">
        <x:f>M169*'Scenarios'!$E$9*'Scenarios'!$E$5*(1-'Scenarios'!$E$6*'Scenarios'!$E$7)</x:f>
        <x:v>3051.5625</x:v>
      </x:c>
      <x:c r="N180" s="114" t="n">
        <x:f>N169*'Scenarios'!$E$9*'Scenarios'!$E$5*(1-'Scenarios'!$E$6*'Scenarios'!$E$7)</x:f>
        <x:v>3051.5625</x:v>
      </x:c>
      <x:c r="O180" s="114" t="n">
        <x:f>O169*'Scenarios'!$E$9*'Scenarios'!$E$5*(1-'Scenarios'!$E$6*'Scenarios'!$E$7)</x:f>
        <x:v>3661.875</x:v>
      </x:c>
      <x:c r="P180" s="114" t="n">
        <x:f>P169*'Scenarios'!$E$9*'Scenarios'!$E$5*(1-'Scenarios'!$E$6*'Scenarios'!$E$7)</x:f>
        <x:v>3661.875</x:v>
      </x:c>
      <x:c r="Q180" s="114" t="n">
        <x:f>Q169*'Scenarios'!$E$9*'Scenarios'!$E$5*(1-'Scenarios'!$E$6*'Scenarios'!$E$7)</x:f>
        <x:v>3661.875</x:v>
      </x:c>
      <x:c r="R180" s="114" t="n">
        <x:f>R169*'Scenarios'!$E$9*'Scenarios'!$E$5*(1-'Scenarios'!$E$6*'Scenarios'!$E$7)</x:f>
        <x:v>3661.875</x:v>
      </x:c>
      <x:c r="S180" s="114" t="n">
        <x:f>S169*'Scenarios'!$E$9*'Scenarios'!$E$5*(1-'Scenarios'!$E$6*'Scenarios'!$E$7)</x:f>
        <x:v>3661.875</x:v>
      </x:c>
      <x:c r="T180" s="114" t="n">
        <x:f>T169*'Scenarios'!$E$9*'Scenarios'!$E$5*(1-'Scenarios'!$E$6*'Scenarios'!$E$7)</x:f>
        <x:v>3661.875</x:v>
      </x:c>
      <x:c r="U180" s="114" t="n">
        <x:f>U169*'Scenarios'!$E$9*'Scenarios'!$E$5*(1-'Scenarios'!$E$6*'Scenarios'!$E$7)</x:f>
        <x:v>4882.5</x:v>
      </x:c>
      <x:c r="V180" s="114" t="n">
        <x:f>V169*'Scenarios'!$E$9*'Scenarios'!$E$5*(1-'Scenarios'!$E$6*'Scenarios'!$E$7)</x:f>
        <x:v>4882.5</x:v>
      </x:c>
      <x:c r="W180" s="114" t="n">
        <x:f>W169*'Scenarios'!$E$9*'Scenarios'!$E$5*(1-'Scenarios'!$E$6*'Scenarios'!$E$7)</x:f>
        <x:v>4882.5</x:v>
      </x:c>
      <x:c r="X180" s="114" t="n">
        <x:f>X169*'Scenarios'!$E$9*'Scenarios'!$E$5*(1-'Scenarios'!$E$6*'Scenarios'!$E$7)</x:f>
        <x:v>4882.5</x:v>
      </x:c>
      <x:c r="Y180" s="114" t="n">
        <x:f>Y169*'Scenarios'!$E$9*'Scenarios'!$E$5*(1-'Scenarios'!$E$6*'Scenarios'!$E$7)</x:f>
        <x:v>4882.5</x:v>
      </x:c>
      <x:c r="Z180" s="114" t="n">
        <x:f>Z169*'Scenarios'!$E$9*'Scenarios'!$E$5*(1-'Scenarios'!$E$6*'Scenarios'!$E$7)</x:f>
        <x:v>4882.5</x:v>
      </x:c>
      <x:c r="AA180" s="114" t="n">
        <x:f>AA169*'Scenarios'!$E$9*'Scenarios'!$E$5*(1-'Scenarios'!$E$6*'Scenarios'!$E$7)</x:f>
        <x:v>6103.125</x:v>
      </x:c>
      <x:c r="AB180" s="114" t="n">
        <x:f>AB169*'Scenarios'!$E$9*'Scenarios'!$E$5*(1-'Scenarios'!$E$6*'Scenarios'!$E$7)</x:f>
        <x:v>6103.125</x:v>
      </x:c>
      <x:c r="AC180" s="114" t="n">
        <x:f>AC169*'Scenarios'!$E$9*'Scenarios'!$E$5*(1-'Scenarios'!$E$6*'Scenarios'!$E$7)</x:f>
        <x:v>6103.125</x:v>
      </x:c>
      <x:c r="AD180" s="114" t="n">
        <x:f>AD169*'Scenarios'!$E$9*'Scenarios'!$E$5*(1-'Scenarios'!$E$6*'Scenarios'!$E$7)</x:f>
        <x:v>6103.125</x:v>
      </x:c>
      <x:c r="AE180" s="114" t="n">
        <x:f>AE169*'Scenarios'!$E$9*'Scenarios'!$E$5*(1-'Scenarios'!$E$6*'Scenarios'!$E$7)</x:f>
        <x:v>6103.125</x:v>
      </x:c>
      <x:c r="AF180" s="114" t="n">
        <x:f>AF169*'Scenarios'!$E$9*'Scenarios'!$E$5*(1-'Scenarios'!$E$6*'Scenarios'!$E$7)</x:f>
        <x:v>6103.125</x:v>
      </x:c>
      <x:c r="AG180" s="114" t="n">
        <x:f>AG169*'Scenarios'!$E$9*'Scenarios'!$E$5*(1-'Scenarios'!$E$6*'Scenarios'!$E$7)</x:f>
        <x:v>6103.125</x:v>
      </x:c>
      <x:c r="AH180" s="114" t="n">
        <x:f>AH169*'Scenarios'!$E$9*'Scenarios'!$E$5*(1-'Scenarios'!$E$6*'Scenarios'!$E$7)</x:f>
        <x:v>6103.125</x:v>
      </x:c>
      <x:c r="AI180" s="114" t="n">
        <x:f>AI169*'Scenarios'!$E$9*'Scenarios'!$E$5*(1-'Scenarios'!$E$6*'Scenarios'!$E$7)</x:f>
        <x:v>6103.125</x:v>
      </x:c>
      <x:c r="AJ180" s="114" t="n">
        <x:f>AJ169*'Scenarios'!$E$9*'Scenarios'!$E$5*(1-'Scenarios'!$E$6*'Scenarios'!$E$7)</x:f>
        <x:v>6103.125</x:v>
      </x:c>
      <x:c r="AK180" s="114" t="n">
        <x:f>AK169*'Scenarios'!$E$9*'Scenarios'!$E$5*(1-'Scenarios'!$E$6*'Scenarios'!$E$7)</x:f>
        <x:v>6103.125</x:v>
      </x:c>
      <x:c r="AL180" s="114" t="n">
        <x:f>AL169*'Scenarios'!$E$9*'Scenarios'!$E$5*(1-'Scenarios'!$E$6*'Scenarios'!$E$7)</x:f>
        <x:v>6103.125</x:v>
      </x:c>
    </x:row>
    <x:row r="181">
      <x:c r="A181" s="84" t="str">
        <x:v>Launch revenue</x:v>
      </x:c>
      <x:c r="B181" s="84" t="str">
        <x:v>$</x:v>
      </x:c>
      <x:c r="C181" s="114" t="n">
        <x:f>C170*'Scenarios'!$E$10*'Scenarios'!$E$5*(1-'Scenarios'!$E$6*'Scenarios'!$E$7)</x:f>
        <x:v>0</x:v>
      </x:c>
      <x:c r="D181" s="114" t="n">
        <x:f>D170*'Scenarios'!$E$10*'Scenarios'!$E$5*(1-'Scenarios'!$E$6*'Scenarios'!$E$7)</x:f>
        <x:v>4808.77425</x:v>
      </x:c>
      <x:c r="E181" s="114" t="n">
        <x:f>E170*'Scenarios'!$E$10*'Scenarios'!$E$5*(1-'Scenarios'!$E$6*'Scenarios'!$E$7)</x:f>
        <x:v>4808.77425</x:v>
      </x:c>
      <x:c r="F181" s="114" t="n">
        <x:f>F170*'Scenarios'!$E$10*'Scenarios'!$E$5*(1-'Scenarios'!$E$6*'Scenarios'!$E$7)</x:f>
        <x:v>4808.77425</x:v>
      </x:c>
      <x:c r="G181" s="114" t="n">
        <x:f>G170*'Scenarios'!$E$10*'Scenarios'!$E$5*(1-'Scenarios'!$E$6*'Scenarios'!$E$7)</x:f>
        <x:v>7177.275</x:v>
      </x:c>
      <x:c r="H181" s="114" t="n">
        <x:f>H170*'Scenarios'!$E$10*'Scenarios'!$E$5*(1-'Scenarios'!$E$6*'Scenarios'!$E$7)</x:f>
        <x:v>7177.275</x:v>
      </x:c>
      <x:c r="I181" s="114" t="n">
        <x:f>I170*'Scenarios'!$E$10*'Scenarios'!$E$5*(1-'Scenarios'!$E$6*'Scenarios'!$E$7)</x:f>
        <x:v>7177.275</x:v>
      </x:c>
      <x:c r="J181" s="114" t="n">
        <x:f>J170*'Scenarios'!$E$10*'Scenarios'!$E$5*(1-'Scenarios'!$E$6*'Scenarios'!$E$7)</x:f>
        <x:v>8971.59375</x:v>
      </x:c>
      <x:c r="K181" s="114" t="n">
        <x:f>K170*'Scenarios'!$E$10*'Scenarios'!$E$5*(1-'Scenarios'!$E$6*'Scenarios'!$E$7)</x:f>
        <x:v>8971.59375</x:v>
      </x:c>
      <x:c r="L181" s="114" t="n">
        <x:f>L170*'Scenarios'!$E$10*'Scenarios'!$E$5*(1-'Scenarios'!$E$6*'Scenarios'!$E$7)</x:f>
        <x:v>8971.59375</x:v>
      </x:c>
      <x:c r="M181" s="114" t="n">
        <x:f>M170*'Scenarios'!$E$10*'Scenarios'!$E$5*(1-'Scenarios'!$E$6*'Scenarios'!$E$7)</x:f>
        <x:v>8971.59375</x:v>
      </x:c>
      <x:c r="N181" s="114" t="n">
        <x:f>N170*'Scenarios'!$E$10*'Scenarios'!$E$5*(1-'Scenarios'!$E$6*'Scenarios'!$E$7)</x:f>
        <x:v>8971.59375</x:v>
      </x:c>
      <x:c r="O181" s="114" t="n">
        <x:f>O170*'Scenarios'!$E$10*'Scenarios'!$E$5*(1-'Scenarios'!$E$6*'Scenarios'!$E$7)</x:f>
        <x:v>8971.59375</x:v>
      </x:c>
      <x:c r="P181" s="114" t="n">
        <x:f>P170*'Scenarios'!$E$10*'Scenarios'!$E$5*(1-'Scenarios'!$E$6*'Scenarios'!$E$7)</x:f>
        <x:v>10765.912499999999</x:v>
      </x:c>
      <x:c r="Q181" s="114" t="n">
        <x:f>Q170*'Scenarios'!$E$10*'Scenarios'!$E$5*(1-'Scenarios'!$E$6*'Scenarios'!$E$7)</x:f>
        <x:v>10765.912499999999</x:v>
      </x:c>
      <x:c r="R181" s="114" t="n">
        <x:f>R170*'Scenarios'!$E$10*'Scenarios'!$E$5*(1-'Scenarios'!$E$6*'Scenarios'!$E$7)</x:f>
        <x:v>10765.912499999999</x:v>
      </x:c>
      <x:c r="S181" s="114" t="n">
        <x:f>S170*'Scenarios'!$E$10*'Scenarios'!$E$5*(1-'Scenarios'!$E$6*'Scenarios'!$E$7)</x:f>
        <x:v>10765.912499999999</x:v>
      </x:c>
      <x:c r="T181" s="114" t="n">
        <x:f>T170*'Scenarios'!$E$10*'Scenarios'!$E$5*(1-'Scenarios'!$E$6*'Scenarios'!$E$7)</x:f>
        <x:v>10765.912499999999</x:v>
      </x:c>
      <x:c r="U181" s="114" t="n">
        <x:f>U170*'Scenarios'!$E$10*'Scenarios'!$E$5*(1-'Scenarios'!$E$6*'Scenarios'!$E$7)</x:f>
        <x:v>10765.912499999999</x:v>
      </x:c>
      <x:c r="V181" s="114" t="n">
        <x:f>V170*'Scenarios'!$E$10*'Scenarios'!$E$5*(1-'Scenarios'!$E$6*'Scenarios'!$E$7)</x:f>
        <x:v>14354.55</x:v>
      </x:c>
      <x:c r="W181" s="114" t="n">
        <x:f>W170*'Scenarios'!$E$10*'Scenarios'!$E$5*(1-'Scenarios'!$E$6*'Scenarios'!$E$7)</x:f>
        <x:v>14354.55</x:v>
      </x:c>
      <x:c r="X181" s="114" t="n">
        <x:f>X170*'Scenarios'!$E$10*'Scenarios'!$E$5*(1-'Scenarios'!$E$6*'Scenarios'!$E$7)</x:f>
        <x:v>14354.55</x:v>
      </x:c>
      <x:c r="Y181" s="114" t="n">
        <x:f>Y170*'Scenarios'!$E$10*'Scenarios'!$E$5*(1-'Scenarios'!$E$6*'Scenarios'!$E$7)</x:f>
        <x:v>14354.55</x:v>
      </x:c>
      <x:c r="Z181" s="114" t="n">
        <x:f>Z170*'Scenarios'!$E$10*'Scenarios'!$E$5*(1-'Scenarios'!$E$6*'Scenarios'!$E$7)</x:f>
        <x:v>14354.55</x:v>
      </x:c>
      <x:c r="AA181" s="114" t="n">
        <x:f>AA170*'Scenarios'!$E$10*'Scenarios'!$E$5*(1-'Scenarios'!$E$6*'Scenarios'!$E$7)</x:f>
        <x:v>14354.55</x:v>
      </x:c>
      <x:c r="AB181" s="114" t="n">
        <x:f>AB170*'Scenarios'!$E$10*'Scenarios'!$E$5*(1-'Scenarios'!$E$6*'Scenarios'!$E$7)</x:f>
        <x:v>17943.1875</x:v>
      </x:c>
      <x:c r="AC181" s="114" t="n">
        <x:f>AC170*'Scenarios'!$E$10*'Scenarios'!$E$5*(1-'Scenarios'!$E$6*'Scenarios'!$E$7)</x:f>
        <x:v>17943.1875</x:v>
      </x:c>
      <x:c r="AD181" s="114" t="n">
        <x:f>AD170*'Scenarios'!$E$10*'Scenarios'!$E$5*(1-'Scenarios'!$E$6*'Scenarios'!$E$7)</x:f>
        <x:v>17943.1875</x:v>
      </x:c>
      <x:c r="AE181" s="114" t="n">
        <x:f>AE170*'Scenarios'!$E$10*'Scenarios'!$E$5*(1-'Scenarios'!$E$6*'Scenarios'!$E$7)</x:f>
        <x:v>17943.1875</x:v>
      </x:c>
      <x:c r="AF181" s="114" t="n">
        <x:f>AF170*'Scenarios'!$E$10*'Scenarios'!$E$5*(1-'Scenarios'!$E$6*'Scenarios'!$E$7)</x:f>
        <x:v>17943.1875</x:v>
      </x:c>
      <x:c r="AG181" s="114" t="n">
        <x:f>AG170*'Scenarios'!$E$10*'Scenarios'!$E$5*(1-'Scenarios'!$E$6*'Scenarios'!$E$7)</x:f>
        <x:v>17943.1875</x:v>
      </x:c>
      <x:c r="AH181" s="114" t="n">
        <x:f>AH170*'Scenarios'!$E$10*'Scenarios'!$E$5*(1-'Scenarios'!$E$6*'Scenarios'!$E$7)</x:f>
        <x:v>17943.1875</x:v>
      </x:c>
      <x:c r="AI181" s="114" t="n">
        <x:f>AI170*'Scenarios'!$E$10*'Scenarios'!$E$5*(1-'Scenarios'!$E$6*'Scenarios'!$E$7)</x:f>
        <x:v>17943.1875</x:v>
      </x:c>
      <x:c r="AJ181" s="114" t="n">
        <x:f>AJ170*'Scenarios'!$E$10*'Scenarios'!$E$5*(1-'Scenarios'!$E$6*'Scenarios'!$E$7)</x:f>
        <x:v>17943.1875</x:v>
      </x:c>
      <x:c r="AK181" s="114" t="n">
        <x:f>AK170*'Scenarios'!$E$10*'Scenarios'!$E$5*(1-'Scenarios'!$E$6*'Scenarios'!$E$7)</x:f>
        <x:v>17943.1875</x:v>
      </x:c>
      <x:c r="AL181" s="114" t="n">
        <x:f>AL170*'Scenarios'!$E$10*'Scenarios'!$E$5*(1-'Scenarios'!$E$6*'Scenarios'!$E$7)</x:f>
        <x:v>17943.1875</x:v>
      </x:c>
    </x:row>
    <x:row r="182">
      <x:c r="A182" s="84" t="str">
        <x:v>Core recurring revenue</x:v>
      </x:c>
      <x:c r="B182" s="84" t="str">
        <x:v>$</x:v>
      </x:c>
      <x:c r="C182" s="114" t="n">
        <x:f>C174*'Scenarios'!$E$11*'Scenarios'!$E$5*(1-'Scenarios'!$E$6*'Scenarios'!$E$7)</x:f>
        <x:v>0</x:v>
      </x:c>
      <x:c r="D182" s="114" t="n">
        <x:f>D174*'Scenarios'!$E$11*'Scenarios'!$E$5*(1-'Scenarios'!$E$6*'Scenarios'!$E$7)</x:f>
        <x:v>0</x:v>
      </x:c>
      <x:c r="E182" s="114" t="n">
        <x:f>E174*'Scenarios'!$E$11*'Scenarios'!$E$5*(1-'Scenarios'!$E$6*'Scenarios'!$E$7)</x:f>
        <x:v>214.10494875</x:v>
      </x:c>
      <x:c r="F182" s="114" t="n">
        <x:f>F174*'Scenarios'!$E$11*'Scenarios'!$E$5*(1-'Scenarios'!$E$6*'Scenarios'!$E$7)</x:f>
        <x:v>426.06884801250004</x:v>
      </x:c>
      <x:c r="G182" s="114" t="n">
        <x:f>G174*'Scenarios'!$E$11*'Scenarios'!$E$5*(1-'Scenarios'!$E$6*'Scenarios'!$E$7)</x:f>
        <x:v>635.9131082823751</x:v>
      </x:c>
      <x:c r="H182" s="114" t="n">
        <x:f>H174*'Scenarios'!$E$11*'Scenarios'!$E$5*(1-'Scenarios'!$E$6*'Scenarios'!$E$7)</x:f>
        <x:v>949.1136021995513</x:v>
      </x:c>
      <x:c r="I182" s="114" t="n">
        <x:f>I174*'Scenarios'!$E$11*'Scenarios'!$E$5*(1-'Scenarios'!$E$6*'Scenarios'!$E$7)</x:f>
        <x:v>1259.1820911775555</x:v>
      </x:c>
      <x:c r="J182" s="114" t="n">
        <x:f>J174*'Scenarios'!$E$11*'Scenarios'!$E$5*(1-'Scenarios'!$E$6*'Scenarios'!$E$7)</x:f>
        <x:v>1566.1498952657805</x:v>
      </x:c>
      <x:c r="K182" s="114" t="n">
        <x:f>K174*'Scenarios'!$E$11*'Scenarios'!$E$5*(1-'Scenarios'!$E$6*'Scenarios'!$E$7)</x:f>
        <x:v>1949.9379275631227</x:v>
      </x:c>
      <x:c r="L182" s="114" t="n">
        <x:f>L174*'Scenarios'!$E$11*'Scenarios'!$E$5*(1-'Scenarios'!$E$6*'Scenarios'!$E$7)</x:f>
        <x:v>2329.888079537491</x:v>
      </x:c>
      <x:c r="M182" s="114" t="n">
        <x:f>M174*'Scenarios'!$E$11*'Scenarios'!$E$5*(1-'Scenarios'!$E$6*'Scenarios'!$E$7)</x:f>
        <x:v>2706.038729992117</x:v>
      </x:c>
      <x:c r="N182" s="114" t="n">
        <x:f>N174*'Scenarios'!$E$11*'Scenarios'!$E$5*(1-'Scenarios'!$E$6*'Scenarios'!$E$7)</x:f>
        <x:v>3078.427873942195</x:v>
      </x:c>
      <x:c r="O182" s="114" t="n">
        <x:f>O174*'Scenarios'!$E$11*'Scenarios'!$E$5*(1-'Scenarios'!$E$6*'Scenarios'!$E$7)</x:f>
        <x:v>3447.0931264527744</x:v>
      </x:c>
      <x:c r="P182" s="114" t="n">
        <x:f>P174*'Scenarios'!$E$11*'Scenarios'!$E$5*(1-'Scenarios'!$E$6*'Scenarios'!$E$7)</x:f>
        <x:v>3812.0717264382465</x:v>
      </x:c>
      <x:c r="Q182" s="114" t="n">
        <x:f>Q174*'Scenarios'!$E$11*'Scenarios'!$E$5*(1-'Scenarios'!$E$6*'Scenarios'!$E$7)</x:f>
        <x:v>4253.290446673864</x:v>
      </x:c>
      <x:c r="R182" s="114" t="n">
        <x:f>R174*'Scenarios'!$E$11*'Scenarios'!$E$5*(1-'Scenarios'!$E$6*'Scenarios'!$E$7)</x:f>
        <x:v>4690.096979707125</x:v>
      </x:c>
      <x:c r="S182" s="114" t="n">
        <x:f>S174*'Scenarios'!$E$11*'Scenarios'!$E$5*(1-'Scenarios'!$E$6*'Scenarios'!$E$7)</x:f>
        <x:v>5122.535447410054</x:v>
      </x:c>
      <x:c r="T182" s="114" t="n">
        <x:f>T174*'Scenarios'!$E$11*'Scenarios'!$E$5*(1-'Scenarios'!$E$6*'Scenarios'!$E$7)</x:f>
        <x:v>5550.649530435953</x:v>
      </x:c>
      <x:c r="U182" s="114" t="n">
        <x:f>U174*'Scenarios'!$E$11*'Scenarios'!$E$5*(1-'Scenarios'!$E$6*'Scenarios'!$E$7)</x:f>
        <x:v>5974.482472631595</x:v>
      </x:c>
      <x:c r="V182" s="114" t="n">
        <x:f>V174*'Scenarios'!$E$11*'Scenarios'!$E$5*(1-'Scenarios'!$E$6*'Scenarios'!$E$7)</x:f>
        <x:v>6394.077085405279</x:v>
      </x:c>
      <x:c r="W182" s="114" t="n">
        <x:f>W174*'Scenarios'!$E$11*'Scenarios'!$E$5*(1-'Scenarios'!$E$6*'Scenarios'!$E$7)</x:f>
        <x:v>6969.255564551225</x:v>
      </x:c>
      <x:c r="X182" s="114" t="n">
        <x:f>X174*'Scenarios'!$E$11*'Scenarios'!$E$5*(1-'Scenarios'!$E$6*'Scenarios'!$E$7)</x:f>
        <x:v>7538.682258905713</x:v>
      </x:c>
      <x:c r="Y182" s="114" t="n">
        <x:f>Y174*'Scenarios'!$E$11*'Scenarios'!$E$5*(1-'Scenarios'!$E$6*'Scenarios'!$E$7)</x:f>
        <x:v>8102.414686316655</x:v>
      </x:c>
      <x:c r="Z182" s="114" t="n">
        <x:f>Z174*'Scenarios'!$E$11*'Scenarios'!$E$5*(1-'Scenarios'!$E$6*'Scenarios'!$E$7)</x:f>
        <x:v>8660.509789453488</x:v>
      </x:c>
      <x:c r="AA182" s="114" t="n">
        <x:f>AA174*'Scenarios'!$E$11*'Scenarios'!$E$5*(1-'Scenarios'!$E$6*'Scenarios'!$E$7)</x:f>
        <x:v>9213.023941558955</x:v>
      </x:c>
      <x:c r="AB182" s="114" t="n">
        <x:f>AB174*'Scenarios'!$E$11*'Scenarios'!$E$5*(1-'Scenarios'!$E$6*'Scenarios'!$E$7)</x:f>
        <x:v>9760.012952143365</x:v>
      </x:c>
      <x:c r="AC182" s="114" t="n">
        <x:f>AC174*'Scenarios'!$E$11*'Scenarios'!$E$5*(1-'Scenarios'!$E$6*'Scenarios'!$E$7)</x:f>
        <x:v>10461.311885121931</x:v>
      </x:c>
      <x:c r="AD182" s="114" t="n">
        <x:f>AD174*'Scenarios'!$E$11*'Scenarios'!$E$5*(1-'Scenarios'!$E$6*'Scenarios'!$E$7)</x:f>
        <x:v>11155.597828770713</x:v>
      </x:c>
      <x:c r="AE182" s="114" t="n">
        <x:f>AE174*'Scenarios'!$E$11*'Scenarios'!$E$5*(1-'Scenarios'!$E$6*'Scenarios'!$E$7)</x:f>
        <x:v>11842.940912983007</x:v>
      </x:c>
      <x:c r="AF182" s="114" t="n">
        <x:f>AF174*'Scenarios'!$E$11*'Scenarios'!$E$5*(1-'Scenarios'!$E$6*'Scenarios'!$E$7)</x:f>
        <x:v>12523.41056635318</x:v>
      </x:c>
      <x:c r="AG182" s="114" t="n">
        <x:f>AG174*'Scenarios'!$E$11*'Scenarios'!$E$5*(1-'Scenarios'!$E$6*'Scenarios'!$E$7)</x:f>
        <x:v>13197.075523189646</x:v>
      </x:c>
      <x:c r="AH182" s="114" t="n">
        <x:f>AH174*'Scenarios'!$E$11*'Scenarios'!$E$5*(1-'Scenarios'!$E$6*'Scenarios'!$E$7)</x:f>
        <x:v>13864.003830457748</x:v>
      </x:c>
      <x:c r="AI182" s="114" t="n">
        <x:f>AI174*'Scenarios'!$E$11*'Scenarios'!$E$5*(1-'Scenarios'!$E$6*'Scenarios'!$E$7)</x:f>
        <x:v>14524.262854653172</x:v>
      </x:c>
      <x:c r="AJ182" s="114" t="n">
        <x:f>AJ174*'Scenarios'!$E$11*'Scenarios'!$E$5*(1-'Scenarios'!$E$6*'Scenarios'!$E$7)</x:f>
        <x:v>15177.919288606638</x:v>
      </x:c>
      <x:c r="AK182" s="114" t="n">
        <x:f>AK174*'Scenarios'!$E$11*'Scenarios'!$E$5*(1-'Scenarios'!$E$6*'Scenarios'!$E$7)</x:f>
        <x:v>15825.039158220574</x:v>
      </x:c>
      <x:c r="AL182" s="114" t="n">
        <x:f>AL174*'Scenarios'!$E$11*'Scenarios'!$E$5*(1-'Scenarios'!$E$6*'Scenarios'!$E$7)</x:f>
        <x:v>16465.68782913837</x:v>
      </x:c>
    </x:row>
    <x:row r="183">
      <x:c r="A183" s="84" t="str">
        <x:v>Operate recurring revenue</x:v>
      </x:c>
      <x:c r="B183" s="84" t="str">
        <x:v>$</x:v>
      </x:c>
      <x:c r="C183" s="114" t="n">
        <x:f>C175*'Scenarios'!$E$12*'Scenarios'!$E$5*(1-'Scenarios'!$E$6*'Scenarios'!$E$7)</x:f>
        <x:v>0</x:v>
      </x:c>
      <x:c r="D183" s="114" t="n">
        <x:f>D175*'Scenarios'!$E$12*'Scenarios'!$E$5*(1-'Scenarios'!$E$6*'Scenarios'!$E$7)</x:f>
        <x:v>0</x:v>
      </x:c>
      <x:c r="E183" s="114" t="n">
        <x:f>E175*'Scenarios'!$E$12*'Scenarios'!$E$5*(1-'Scenarios'!$E$6*'Scenarios'!$E$7)</x:f>
        <x:v>973.2043125</x:v>
      </x:c>
      <x:c r="F183" s="114" t="n">
        <x:f>F175*'Scenarios'!$E$12*'Scenarios'!$E$5*(1-'Scenarios'!$E$6*'Scenarios'!$E$7)</x:f>
        <x:v>1936.6765818750002</x:v>
      </x:c>
      <x:c r="G183" s="114" t="n">
        <x:f>G175*'Scenarios'!$E$12*'Scenarios'!$E$5*(1-'Scenarios'!$E$6*'Scenarios'!$E$7)</x:f>
        <x:v>2890.5141285562504</x:v>
      </x:c>
      <x:c r="H183" s="114" t="n">
        <x:f>H175*'Scenarios'!$E$12*'Scenarios'!$E$5*(1-'Scenarios'!$E$6*'Scenarios'!$E$7)</x:f>
        <x:v>4314.152737270688</x:v>
      </x:c>
      <x:c r="I183" s="114" t="n">
        <x:f>I175*'Scenarios'!$E$12*'Scenarios'!$E$5*(1-'Scenarios'!$E$6*'Scenarios'!$E$7)</x:f>
        <x:v>5723.554959897981</x:v>
      </x:c>
      <x:c r="J183" s="114" t="n">
        <x:f>J175*'Scenarios'!$E$12*'Scenarios'!$E$5*(1-'Scenarios'!$E$6*'Scenarios'!$E$7)</x:f>
        <x:v>7118.863160299002</x:v>
      </x:c>
      <x:c r="K183" s="114" t="n">
        <x:f>K175*'Scenarios'!$E$12*'Scenarios'!$E$5*(1-'Scenarios'!$E$6*'Scenarios'!$E$7)</x:f>
        <x:v>8863.354216196012</x:v>
      </x:c>
      <x:c r="L183" s="114" t="n">
        <x:f>L175*'Scenarios'!$E$12*'Scenarios'!$E$5*(1-'Scenarios'!$E$6*'Scenarios'!$E$7)</x:f>
        <x:v>10590.40036153405</x:v>
      </x:c>
      <x:c r="M183" s="114" t="n">
        <x:f>M175*'Scenarios'!$E$12*'Scenarios'!$E$5*(1-'Scenarios'!$E$6*'Scenarios'!$E$7)</x:f>
        <x:v>12300.176045418712</x:v>
      </x:c>
      <x:c r="N183" s="114" t="n">
        <x:f>N175*'Scenarios'!$E$12*'Scenarios'!$E$5*(1-'Scenarios'!$E$6*'Scenarios'!$E$7)</x:f>
        <x:v>13992.853972464527</x:v>
      </x:c>
      <x:c r="O183" s="114" t="n">
        <x:f>O175*'Scenarios'!$E$12*'Scenarios'!$E$5*(1-'Scenarios'!$E$6*'Scenarios'!$E$7)</x:f>
        <x:v>15668.60512023988</x:v>
      </x:c>
      <x:c r="P183" s="114" t="n">
        <x:f>P175*'Scenarios'!$E$12*'Scenarios'!$E$5*(1-'Scenarios'!$E$6*'Scenarios'!$E$7)</x:f>
        <x:v>17327.598756537485</x:v>
      </x:c>
      <x:c r="Q183" s="114" t="n">
        <x:f>Q175*'Scenarios'!$E$12*'Scenarios'!$E$5*(1-'Scenarios'!$E$6*'Scenarios'!$E$7)</x:f>
        <x:v>19333.138393972105</x:v>
      </x:c>
      <x:c r="R183" s="114" t="n">
        <x:f>R175*'Scenarios'!$E$12*'Scenarios'!$E$5*(1-'Scenarios'!$E$6*'Scenarios'!$E$7)</x:f>
        <x:v>21318.62263503239</x:v>
      </x:c>
      <x:c r="S183" s="114" t="n">
        <x:f>S175*'Scenarios'!$E$12*'Scenarios'!$E$5*(1-'Scenarios'!$E$6*'Scenarios'!$E$7)</x:f>
        <x:v>23284.252033682067</x:v>
      </x:c>
      <x:c r="T183" s="114" t="n">
        <x:f>T175*'Scenarios'!$E$12*'Scenarios'!$E$5*(1-'Scenarios'!$E$6*'Scenarios'!$E$7)</x:f>
        <x:v>25230.225138345242</x:v>
      </x:c>
      <x:c r="U183" s="114" t="n">
        <x:f>U175*'Scenarios'!$E$12*'Scenarios'!$E$5*(1-'Scenarios'!$E$6*'Scenarios'!$E$7)</x:f>
        <x:v>27156.738511961794</x:v>
      </x:c>
      <x:c r="V183" s="114" t="n">
        <x:f>V175*'Scenarios'!$E$12*'Scenarios'!$E$5*(1-'Scenarios'!$E$6*'Scenarios'!$E$7)</x:f>
        <x:v>29063.98675184217</x:v>
      </x:c>
      <x:c r="W183" s="114" t="n">
        <x:f>W175*'Scenarios'!$E$12*'Scenarios'!$E$5*(1-'Scenarios'!$E$6*'Scenarios'!$E$7)</x:f>
        <x:v>31678.434384323744</x:v>
      </x:c>
      <x:c r="X183" s="114" t="n">
        <x:f>X175*'Scenarios'!$E$12*'Scenarios'!$E$5*(1-'Scenarios'!$E$6*'Scenarios'!$E$7)</x:f>
        <x:v>34266.73754048051</x:v>
      </x:c>
      <x:c r="Y183" s="114" t="n">
        <x:f>Y175*'Scenarios'!$E$12*'Scenarios'!$E$5*(1-'Scenarios'!$E$6*'Scenarios'!$E$7)</x:f>
        <x:v>36829.157665075705</x:v>
      </x:c>
      <x:c r="Z183" s="114" t="n">
        <x:f>Z175*'Scenarios'!$E$12*'Scenarios'!$E$5*(1-'Scenarios'!$E$6*'Scenarios'!$E$7)</x:f>
        <x:v>39365.95358842494</x:v>
      </x:c>
      <x:c r="AA183" s="114" t="n">
        <x:f>AA175*'Scenarios'!$E$12*'Scenarios'!$E$5*(1-'Scenarios'!$E$6*'Scenarios'!$E$7)</x:f>
        <x:v>41877.3815525407</x:v>
      </x:c>
      <x:c r="AB183" s="114" t="n">
        <x:f>AB175*'Scenarios'!$E$12*'Scenarios'!$E$5*(1-'Scenarios'!$E$6*'Scenarios'!$E$7)</x:f>
        <x:v>44363.695237015294</x:v>
      </x:c>
      <x:c r="AC183" s="114" t="n">
        <x:f>AC175*'Scenarios'!$E$12*'Scenarios'!$E$5*(1-'Scenarios'!$E$6*'Scenarios'!$E$7)</x:f>
        <x:v>47551.41765964514</x:v>
      </x:c>
      <x:c r="AD183" s="114" t="n">
        <x:f>AD175*'Scenarios'!$E$12*'Scenarios'!$E$5*(1-'Scenarios'!$E$6*'Scenarios'!$E$7)</x:f>
        <x:v>50707.26285804869</x:v>
      </x:c>
      <x:c r="AE183" s="114" t="n">
        <x:f>AE175*'Scenarios'!$E$12*'Scenarios'!$E$5*(1-'Scenarios'!$E$6*'Scenarios'!$E$7)</x:f>
        <x:v>53831.549604468215</x:v>
      </x:c>
      <x:c r="AF183" s="114" t="n">
        <x:f>AF175*'Scenarios'!$E$12*'Scenarios'!$E$5*(1-'Scenarios'!$E$6*'Scenarios'!$E$7)</x:f>
        <x:v>56924.59348342353</x:v>
      </x:c>
      <x:c r="AG183" s="114" t="n">
        <x:f>AG175*'Scenarios'!$E$12*'Scenarios'!$E$5*(1-'Scenarios'!$E$6*'Scenarios'!$E$7)</x:f>
        <x:v>59986.70692358929</x:v>
      </x:c>
      <x:c r="AH183" s="114" t="n">
        <x:f>AH175*'Scenarios'!$E$12*'Scenarios'!$E$5*(1-'Scenarios'!$E$6*'Scenarios'!$E$7)</x:f>
        <x:v>63018.199229353406</x:v>
      </x:c>
      <x:c r="AI183" s="114" t="n">
        <x:f>AI175*'Scenarios'!$E$12*'Scenarios'!$E$5*(1-'Scenarios'!$E$6*'Scenarios'!$E$7)</x:f>
        <x:v>66019.37661205987</x:v>
      </x:c>
      <x:c r="AJ183" s="114" t="n">
        <x:f>AJ175*'Scenarios'!$E$12*'Scenarios'!$E$5*(1-'Scenarios'!$E$6*'Scenarios'!$E$7)</x:f>
        <x:v>68990.54222093926</x:v>
      </x:c>
      <x:c r="AK183" s="114" t="n">
        <x:f>AK175*'Scenarios'!$E$12*'Scenarios'!$E$5*(1-'Scenarios'!$E$6*'Scenarios'!$E$7)</x:f>
        <x:v>71931.99617372989</x:v>
      </x:c>
      <x:c r="AL183" s="114" t="n">
        <x:f>AL175*'Scenarios'!$E$12*'Scenarios'!$E$5*(1-'Scenarios'!$E$6*'Scenarios'!$E$7)</x:f>
        <x:v>74844.0355869926</x:v>
      </x:c>
    </x:row>
    <x:row r="184">
      <x:c r="A184" s="84" t="str">
        <x:v>Scale recurring revenue</x:v>
      </x:c>
      <x:c r="B184" s="84" t="str">
        <x:v>$</x:v>
      </x:c>
      <x:c r="C184" s="114" t="n">
        <x:f>C176*'Scenarios'!$E$13*'Scenarios'!$E$5*(1-'Scenarios'!$E$6*'Scenarios'!$E$7)</x:f>
        <x:v>0</x:v>
      </x:c>
      <x:c r="D184" s="114" t="n">
        <x:f>D176*'Scenarios'!$E$13*'Scenarios'!$E$5*(1-'Scenarios'!$E$6*'Scenarios'!$E$7)</x:f>
        <x:v>0</x:v>
      </x:c>
      <x:c r="E184" s="114" t="n">
        <x:f>E176*'Scenarios'!$E$13*'Scenarios'!$E$5*(1-'Scenarios'!$E$6*'Scenarios'!$E$7)</x:f>
        <x:v>992.6683987499999</x:v>
      </x:c>
      <x:c r="F184" s="114" t="n">
        <x:f>F176*'Scenarios'!$E$13*'Scenarios'!$E$5*(1-'Scenarios'!$E$6*'Scenarios'!$E$7)</x:f>
        <x:v>1975.4101135124997</x:v>
      </x:c>
      <x:c r="G184" s="114" t="n">
        <x:f>G176*'Scenarios'!$E$13*'Scenarios'!$E$5*(1-'Scenarios'!$E$6*'Scenarios'!$E$7)</x:f>
        <x:v>2948.324411127375</x:v>
      </x:c>
      <x:c r="H184" s="114" t="n">
        <x:f>H176*'Scenarios'!$E$13*'Scenarios'!$E$5*(1-'Scenarios'!$E$6*'Scenarios'!$E$7)</x:f>
        <x:v>4400.435792016102</x:v>
      </x:c>
      <x:c r="I184" s="114" t="n">
        <x:f>I176*'Scenarios'!$E$13*'Scenarios'!$E$5*(1-'Scenarios'!$E$6*'Scenarios'!$E$7)</x:f>
        <x:v>5838.026059095941</x:v>
      </x:c>
      <x:c r="J184" s="114" t="n">
        <x:f>J176*'Scenarios'!$E$13*'Scenarios'!$E$5*(1-'Scenarios'!$E$6*'Scenarios'!$E$7)</x:f>
        <x:v>7261.240423504982</x:v>
      </x:c>
      <x:c r="K184" s="114" t="n">
        <x:f>K176*'Scenarios'!$E$13*'Scenarios'!$E$5*(1-'Scenarios'!$E$6*'Scenarios'!$E$7)</x:f>
        <x:v>9040.62130051993</x:v>
      </x:c>
      <x:c r="L184" s="114" t="n">
        <x:f>L176*'Scenarios'!$E$13*'Scenarios'!$E$5*(1-'Scenarios'!$E$6*'Scenarios'!$E$7)</x:f>
        <x:v>10802.20836876473</x:v>
      </x:c>
      <x:c r="M184" s="114" t="n">
        <x:f>M176*'Scenarios'!$E$13*'Scenarios'!$E$5*(1-'Scenarios'!$E$6*'Scenarios'!$E$7)</x:f>
        <x:v>12546.179566327084</x:v>
      </x:c>
      <x:c r="N184" s="114" t="n">
        <x:f>N176*'Scenarios'!$E$13*'Scenarios'!$E$5*(1-'Scenarios'!$E$6*'Scenarios'!$E$7)</x:f>
        <x:v>14272.711051913817</x:v>
      </x:c>
      <x:c r="O184" s="114" t="n">
        <x:f>O176*'Scenarios'!$E$13*'Scenarios'!$E$5*(1-'Scenarios'!$E$6*'Scenarios'!$E$7)</x:f>
        <x:v>15981.977222644677</x:v>
      </x:c>
      <x:c r="P184" s="114" t="n">
        <x:f>P176*'Scenarios'!$E$13*'Scenarios'!$E$5*(1-'Scenarios'!$E$6*'Scenarios'!$E$7)</x:f>
        <x:v>17674.150731668233</x:v>
      </x:c>
      <x:c r="Q184" s="114" t="n">
        <x:f>Q176*'Scenarios'!$E$13*'Scenarios'!$E$5*(1-'Scenarios'!$E$6*'Scenarios'!$E$7)</x:f>
        <x:v>19719.80116185155</x:v>
      </x:c>
      <x:c r="R184" s="114" t="n">
        <x:f>R176*'Scenarios'!$E$13*'Scenarios'!$E$5*(1-'Scenarios'!$E$6*'Scenarios'!$E$7)</x:f>
        <x:v>21744.995087733034</x:v>
      </x:c>
      <x:c r="S184" s="114" t="n">
        <x:f>S176*'Scenarios'!$E$13*'Scenarios'!$E$5*(1-'Scenarios'!$E$6*'Scenarios'!$E$7)</x:f>
        <x:v>23749.937074355705</x:v>
      </x:c>
      <x:c r="T184" s="114" t="n">
        <x:f>T176*'Scenarios'!$E$13*'Scenarios'!$E$5*(1-'Scenarios'!$E$6*'Scenarios'!$E$7)</x:f>
        <x:v>25734.82964111215</x:v>
      </x:c>
      <x:c r="U184" s="114" t="n">
        <x:f>U176*'Scenarios'!$E$13*'Scenarios'!$E$5*(1-'Scenarios'!$E$6*'Scenarios'!$E$7)</x:f>
        <x:v>27699.873282201028</x:v>
      </x:c>
      <x:c r="V184" s="114" t="n">
        <x:f>V176*'Scenarios'!$E$13*'Scenarios'!$E$5*(1-'Scenarios'!$E$6*'Scenarios'!$E$7)</x:f>
        <x:v>29645.266486879016</x:v>
      </x:c>
      <x:c r="W184" s="114" t="n">
        <x:f>W176*'Scenarios'!$E$13*'Scenarios'!$E$5*(1-'Scenarios'!$E$6*'Scenarios'!$E$7)</x:f>
        <x:v>32312.00307201022</x:v>
      </x:c>
      <x:c r="X184" s="114" t="n">
        <x:f>X176*'Scenarios'!$E$13*'Scenarios'!$E$5*(1-'Scenarios'!$E$6*'Scenarios'!$E$7)</x:f>
        <x:v>34952.072291290126</x:v>
      </x:c>
      <x:c r="Y184" s="114" t="n">
        <x:f>Y176*'Scenarios'!$E$13*'Scenarios'!$E$5*(1-'Scenarios'!$E$6*'Scenarios'!$E$7)</x:f>
        <x:v>37565.74081837721</x:v>
      </x:c>
      <x:c r="Z184" s="114" t="n">
        <x:f>Z176*'Scenarios'!$E$13*'Scenarios'!$E$5*(1-'Scenarios'!$E$6*'Scenarios'!$E$7)</x:f>
        <x:v>40153.27266019345</x:v>
      </x:c>
      <x:c r="AA184" s="114" t="n">
        <x:f>AA176*'Scenarios'!$E$13*'Scenarios'!$E$5*(1-'Scenarios'!$E$6*'Scenarios'!$E$7)</x:f>
        <x:v>42714.929183591514</x:v>
      </x:c>
      <x:c r="AB184" s="114" t="n">
        <x:f>AB176*'Scenarios'!$E$13*'Scenarios'!$E$5*(1-'Scenarios'!$E$6*'Scenarios'!$E$7)</x:f>
        <x:v>45250.969141755595</x:v>
      </x:c>
      <x:c r="AC184" s="114" t="n">
        <x:f>AC176*'Scenarios'!$E$13*'Scenarios'!$E$5*(1-'Scenarios'!$E$6*'Scenarios'!$E$7)</x:f>
        <x:v>48502.44601283805</x:v>
      </x:c>
      <x:c r="AD184" s="114" t="n">
        <x:f>AD176*'Scenarios'!$E$13*'Scenarios'!$E$5*(1-'Scenarios'!$E$6*'Scenarios'!$E$7)</x:f>
        <x:v>51721.40811520966</x:v>
      </x:c>
      <x:c r="AE184" s="114" t="n">
        <x:f>AE176*'Scenarios'!$E$13*'Scenarios'!$E$5*(1-'Scenarios'!$E$6*'Scenarios'!$E$7)</x:f>
        <x:v>54908.18059655757</x:v>
      </x:c>
      <x:c r="AF184" s="114" t="n">
        <x:f>AF176*'Scenarios'!$E$13*'Scenarios'!$E$5*(1-'Scenarios'!$E$6*'Scenarios'!$E$7)</x:f>
        <x:v>58063.085353092</x:v>
      </x:c>
      <x:c r="AG184" s="114" t="n">
        <x:f>AG176*'Scenarios'!$E$13*'Scenarios'!$E$5*(1-'Scenarios'!$E$6*'Scenarios'!$E$7)</x:f>
        <x:v>61186.44106206109</x:v>
      </x:c>
      <x:c r="AH184" s="114" t="n">
        <x:f>AH176*'Scenarios'!$E$13*'Scenarios'!$E$5*(1-'Scenarios'!$E$6*'Scenarios'!$E$7)</x:f>
        <x:v>64278.56321394047</x:v>
      </x:c>
      <x:c r="AI184" s="114" t="n">
        <x:f>AI176*'Scenarios'!$E$13*'Scenarios'!$E$5*(1-'Scenarios'!$E$6*'Scenarios'!$E$7)</x:f>
        <x:v>67339.76414430107</x:v>
      </x:c>
      <x:c r="AJ184" s="114" t="n">
        <x:f>AJ176*'Scenarios'!$E$13*'Scenarios'!$E$5*(1-'Scenarios'!$E$6*'Scenarios'!$E$7)</x:f>
        <x:v>70370.35306535807</x:v>
      </x:c>
      <x:c r="AK184" s="114" t="n">
        <x:f>AK176*'Scenarios'!$E$13*'Scenarios'!$E$5*(1-'Scenarios'!$E$6*'Scenarios'!$E$7)</x:f>
        <x:v>73370.63609720448</x:v>
      </x:c>
      <x:c r="AL184" s="114" t="n">
        <x:f>AL176*'Scenarios'!$E$13*'Scenarios'!$E$5*(1-'Scenarios'!$E$6*'Scenarios'!$E$7)</x:f>
        <x:v>76340.91629873244</x:v>
      </x:c>
    </x:row>
    <x:row r="185">
      <x:c r="A185" s="84" t="str">
        <x:v>Expansion revenue</x:v>
      </x:c>
      <x:c r="B185" s="84" t="str">
        <x:v>$</x:v>
      </x:c>
      <x:c r="C185" s="114" t="n">
        <x:f>C177*'Scenarios'!$E$20*'Scenarios'!$E$5*(1-'Scenarios'!$E$6*'Scenarios'!$E$7)</x:f>
        <x:v>0</x:v>
      </x:c>
      <x:c r="D185" s="114" t="n">
        <x:f>D177*'Scenarios'!$E$20*'Scenarios'!$E$5*(1-'Scenarios'!$E$6*'Scenarios'!$E$7)</x:f>
        <x:v>0</x:v>
      </x:c>
      <x:c r="E185" s="114" t="n">
        <x:f>E177*'Scenarios'!$E$20*'Scenarios'!$E$5*(1-'Scenarios'!$E$6*'Scenarios'!$E$7)</x:f>
        <x:v>113.54050312499999</x:v>
      </x:c>
      <x:c r="F185" s="114" t="n">
        <x:f>F177*'Scenarios'!$E$20*'Scenarios'!$E$5*(1-'Scenarios'!$E$6*'Scenarios'!$E$7)</x:f>
        <x:v>225.94560121875</x:v>
      </x:c>
      <x:c r="G185" s="114" t="n">
        <x:f>G177*'Scenarios'!$E$20*'Scenarios'!$E$5*(1-'Scenarios'!$E$6*'Scenarios'!$E$7)</x:f>
        <x:v>337.22664833156244</x:v>
      </x:c>
      <x:c r="H185" s="114" t="n">
        <x:f>H177*'Scenarios'!$E$20*'Scenarios'!$E$5*(1-'Scenarios'!$E$6*'Scenarios'!$E$7)</x:f>
        <x:v>503.31781934824687</x:v>
      </x:c>
      <x:c r="I185" s="114" t="n">
        <x:f>I177*'Scenarios'!$E$20*'Scenarios'!$E$5*(1-'Scenarios'!$E$6*'Scenarios'!$E$7)</x:f>
        <x:v>667.7480786547644</x:v>
      </x:c>
      <x:c r="J185" s="114" t="n">
        <x:f>J177*'Scenarios'!$E$20*'Scenarios'!$E$5*(1-'Scenarios'!$E$6*'Scenarios'!$E$7)</x:f>
        <x:v>830.5340353682167</x:v>
      </x:c>
      <x:c r="K185" s="114" t="n">
        <x:f>K177*'Scenarios'!$E$20*'Scenarios'!$E$5*(1-'Scenarios'!$E$6*'Scenarios'!$E$7)</x:f>
        <x:v>1034.0579918895346</x:v>
      </x:c>
      <x:c r="L185" s="114" t="n">
        <x:f>L177*'Scenarios'!$E$20*'Scenarios'!$E$5*(1-'Scenarios'!$E$6*'Scenarios'!$E$7)</x:f>
        <x:v>1235.5467088456392</x:v>
      </x:c>
      <x:c r="M185" s="114" t="n">
        <x:f>M177*'Scenarios'!$E$20*'Scenarios'!$E$5*(1-'Scenarios'!$E$6*'Scenarios'!$E$7)</x:f>
        <x:v>1435.020538632183</x:v>
      </x:c>
      <x:c r="N185" s="114" t="n">
        <x:f>N177*'Scenarios'!$E$20*'Scenarios'!$E$5*(1-'Scenarios'!$E$6*'Scenarios'!$E$7)</x:f>
        <x:v>1632.4996301208612</x:v>
      </x:c>
      <x:c r="O185" s="114" t="n">
        <x:f>O177*'Scenarios'!$E$20*'Scenarios'!$E$5*(1-'Scenarios'!$E$6*'Scenarios'!$E$7)</x:f>
        <x:v>1828.0039306946528</x:v>
      </x:c>
      <x:c r="P185" s="114" t="n">
        <x:f>P177*'Scenarios'!$E$20*'Scenarios'!$E$5*(1-'Scenarios'!$E$6*'Scenarios'!$E$7)</x:f>
        <x:v>2021.553188262706</x:v>
      </x:c>
      <x:c r="Q185" s="114" t="n">
        <x:f>Q177*'Scenarios'!$E$20*'Scenarios'!$E$5*(1-'Scenarios'!$E$6*'Scenarios'!$E$7)</x:f>
        <x:v>2255.532812630079</x:v>
      </x:c>
      <x:c r="R185" s="114" t="n">
        <x:f>R177*'Scenarios'!$E$20*'Scenarios'!$E$5*(1-'Scenarios'!$E$6*'Scenarios'!$E$7)</x:f>
        <x:v>2487.172640753779</x:v>
      </x:c>
      <x:c r="S185" s="114" t="n">
        <x:f>S177*'Scenarios'!$E$20*'Scenarios'!$E$5*(1-'Scenarios'!$E$6*'Scenarios'!$E$7)</x:f>
        <x:v>2716.4960705962403</x:v>
      </x:c>
      <x:c r="T185" s="114" t="n">
        <x:f>T177*'Scenarios'!$E$20*'Scenarios'!$E$5*(1-'Scenarios'!$E$6*'Scenarios'!$E$7)</x:f>
        <x:v>2943.526266140278</x:v>
      </x:c>
      <x:c r="U185" s="114" t="n">
        <x:f>U177*'Scenarios'!$E$20*'Scenarios'!$E$5*(1-'Scenarios'!$E$6*'Scenarios'!$E$7)</x:f>
        <x:v>3168.2861597288756</x:v>
      </x:c>
      <x:c r="V185" s="114" t="n">
        <x:f>V177*'Scenarios'!$E$20*'Scenarios'!$E$5*(1-'Scenarios'!$E$6*'Scenarios'!$E$7)</x:f>
        <x:v>3390.7984543815865</x:v>
      </x:c>
      <x:c r="W185" s="114" t="n">
        <x:f>W177*'Scenarios'!$E$20*'Scenarios'!$E$5*(1-'Scenarios'!$E$6*'Scenarios'!$E$7)</x:f>
        <x:v>3695.817344837771</x:v>
      </x:c>
      <x:c r="X185" s="114" t="n">
        <x:f>X177*'Scenarios'!$E$20*'Scenarios'!$E$5*(1-'Scenarios'!$E$6*'Scenarios'!$E$7)</x:f>
        <x:v>3997.7860463893926</x:v>
      </x:c>
      <x:c r="Y185" s="114" t="n">
        <x:f>Y177*'Scenarios'!$E$20*'Scenarios'!$E$5*(1-'Scenarios'!$E$6*'Scenarios'!$E$7)</x:f>
        <x:v>4296.735060925497</x:v>
      </x:c>
      <x:c r="Z185" s="114" t="n">
        <x:f>Z177*'Scenarios'!$E$20*'Scenarios'!$E$5*(1-'Scenarios'!$E$6*'Scenarios'!$E$7)</x:f>
        <x:v>4592.694585316243</x:v>
      </x:c>
      <x:c r="AA185" s="114" t="n">
        <x:f>AA177*'Scenarios'!$E$20*'Scenarios'!$E$5*(1-'Scenarios'!$E$6*'Scenarios'!$E$7)</x:f>
        <x:v>4885.694514463081</x:v>
      </x:c>
      <x:c r="AB185" s="114" t="n">
        <x:f>AB177*'Scenarios'!$E$20*'Scenarios'!$E$5*(1-'Scenarios'!$E$6*'Scenarios'!$E$7)</x:f>
        <x:v>5175.76444431845</x:v>
      </x:c>
      <x:c r="AC185" s="114" t="n">
        <x:f>AC177*'Scenarios'!$E$20*'Scenarios'!$E$5*(1-'Scenarios'!$E$6*'Scenarios'!$E$7)</x:f>
        <x:v>5547.665393625267</x:v>
      </x:c>
      <x:c r="AD185" s="114" t="n">
        <x:f>AD177*'Scenarios'!$E$20*'Scenarios'!$E$5*(1-'Scenarios'!$E$6*'Scenarios'!$E$7)</x:f>
        <x:v>5915.847333439014</x:v>
      </x:c>
      <x:c r="AE185" s="114" t="n">
        <x:f>AE177*'Scenarios'!$E$20*'Scenarios'!$E$5*(1-'Scenarios'!$E$6*'Scenarios'!$E$7)</x:f>
        <x:v>6280.347453854624</x:v>
      </x:c>
      <x:c r="AF185" s="114" t="n">
        <x:f>AF177*'Scenarios'!$E$20*'Scenarios'!$E$5*(1-'Scenarios'!$E$6*'Scenarios'!$E$7)</x:f>
        <x:v>6641.202573066079</x:v>
      </x:c>
      <x:c r="AG185" s="114" t="n">
        <x:f>AG177*'Scenarios'!$E$20*'Scenarios'!$E$5*(1-'Scenarios'!$E$6*'Scenarios'!$E$7)</x:f>
        <x:v>6998.449141085417</x:v>
      </x:c>
      <x:c r="AH185" s="114" t="n">
        <x:f>AH177*'Scenarios'!$E$20*'Scenarios'!$E$5*(1-'Scenarios'!$E$6*'Scenarios'!$E$7)</x:f>
        <x:v>7352.123243424563</x:v>
      </x:c>
      <x:c r="AI185" s="114" t="n">
        <x:f>AI177*'Scenarios'!$E$20*'Scenarios'!$E$5*(1-'Scenarios'!$E$6*'Scenarios'!$E$7)</x:f>
        <x:v>7702.260604740318</x:v>
      </x:c>
      <x:c r="AJ185" s="114" t="n">
        <x:f>AJ177*'Scenarios'!$E$20*'Scenarios'!$E$5*(1-'Scenarios'!$E$6*'Scenarios'!$E$7)</x:f>
        <x:v>8048.896592442916</x:v>
      </x:c>
      <x:c r="AK185" s="114" t="n">
        <x:f>AK177*'Scenarios'!$E$20*'Scenarios'!$E$5*(1-'Scenarios'!$E$6*'Scenarios'!$E$7)</x:f>
        <x:v>8392.066220268485</x:v>
      </x:c>
      <x:c r="AL185" s="114" t="n">
        <x:f>AL177*'Scenarios'!$E$20*'Scenarios'!$E$5*(1-'Scenarios'!$E$6*'Scenarios'!$E$7)</x:f>
        <x:v>8731.8041518158</x:v>
      </x:c>
    </x:row>
    <x:row r="186">
      <x:c r="A186" s="84" t="str">
        <x:v>Partner enablement revenue</x:v>
      </x:c>
      <x:c r="B186" s="84" t="str">
        <x:v>$</x:v>
      </x:c>
      <x:c r="C186" s="114" t="n">
        <x:f>C178*'Scenarios'!$E$24*'Scenarios'!$E$5</x:f>
        <x:v>1750</x:v>
      </x:c>
      <x:c r="D186" s="114" t="n">
        <x:f>D178*'Scenarios'!$E$24*'Scenarios'!$E$5</x:f>
        <x:v>1750</x:v>
      </x:c>
      <x:c r="E186" s="114" t="n">
        <x:f>E178*'Scenarios'!$E$24*'Scenarios'!$E$5</x:f>
        <x:v>1750</x:v>
      </x:c>
      <x:c r="F186" s="114" t="n">
        <x:f>F178*'Scenarios'!$E$24*'Scenarios'!$E$5</x:f>
        <x:v>1750</x:v>
      </x:c>
      <x:c r="G186" s="114" t="n">
        <x:f>G178*'Scenarios'!$E$24*'Scenarios'!$E$5</x:f>
        <x:v>1750</x:v>
      </x:c>
      <x:c r="H186" s="114" t="n">
        <x:f>H178*'Scenarios'!$E$24*'Scenarios'!$E$5</x:f>
        <x:v>1750</x:v>
      </x:c>
      <x:c r="I186" s="114" t="n">
        <x:f>I178*'Scenarios'!$E$24*'Scenarios'!$E$5</x:f>
        <x:v>1750</x:v>
      </x:c>
      <x:c r="J186" s="114" t="n">
        <x:f>J178*'Scenarios'!$E$24*'Scenarios'!$E$5</x:f>
        <x:v>1750</x:v>
      </x:c>
      <x:c r="K186" s="114" t="n">
        <x:f>K178*'Scenarios'!$E$24*'Scenarios'!$E$5</x:f>
        <x:v>1750</x:v>
      </x:c>
      <x:c r="L186" s="114" t="n">
        <x:f>L178*'Scenarios'!$E$24*'Scenarios'!$E$5</x:f>
        <x:v>1750</x:v>
      </x:c>
      <x:c r="M186" s="114" t="n">
        <x:f>M178*'Scenarios'!$E$24*'Scenarios'!$E$5</x:f>
        <x:v>1750</x:v>
      </x:c>
      <x:c r="N186" s="114" t="n">
        <x:f>N178*'Scenarios'!$E$24*'Scenarios'!$E$5</x:f>
        <x:v>1750</x:v>
      </x:c>
      <x:c r="O186" s="114" t="n">
        <x:f>O178*'Scenarios'!$E$24*'Scenarios'!$E$5</x:f>
        <x:v>1750</x:v>
      </x:c>
      <x:c r="P186" s="114" t="n">
        <x:f>P178*'Scenarios'!$E$24*'Scenarios'!$E$5</x:f>
        <x:v>1750</x:v>
      </x:c>
      <x:c r="Q186" s="114" t="n">
        <x:f>Q178*'Scenarios'!$E$24*'Scenarios'!$E$5</x:f>
        <x:v>1750</x:v>
      </x:c>
      <x:c r="R186" s="114" t="n">
        <x:f>R178*'Scenarios'!$E$24*'Scenarios'!$E$5</x:f>
        <x:v>1750</x:v>
      </x:c>
      <x:c r="S186" s="114" t="n">
        <x:f>S178*'Scenarios'!$E$24*'Scenarios'!$E$5</x:f>
        <x:v>1750</x:v>
      </x:c>
      <x:c r="T186" s="114" t="n">
        <x:f>T178*'Scenarios'!$E$24*'Scenarios'!$E$5</x:f>
        <x:v>1750</x:v>
      </x:c>
      <x:c r="U186" s="114" t="n">
        <x:f>U178*'Scenarios'!$E$24*'Scenarios'!$E$5</x:f>
        <x:v>1750</x:v>
      </x:c>
      <x:c r="V186" s="114" t="n">
        <x:f>V178*'Scenarios'!$E$24*'Scenarios'!$E$5</x:f>
        <x:v>1750</x:v>
      </x:c>
      <x:c r="W186" s="114" t="n">
        <x:f>W178*'Scenarios'!$E$24*'Scenarios'!$E$5</x:f>
        <x:v>1750</x:v>
      </x:c>
      <x:c r="X186" s="114" t="n">
        <x:f>X178*'Scenarios'!$E$24*'Scenarios'!$E$5</x:f>
        <x:v>1750</x:v>
      </x:c>
      <x:c r="Y186" s="114" t="n">
        <x:f>Y178*'Scenarios'!$E$24*'Scenarios'!$E$5</x:f>
        <x:v>1750</x:v>
      </x:c>
      <x:c r="Z186" s="114" t="n">
        <x:f>Z178*'Scenarios'!$E$24*'Scenarios'!$E$5</x:f>
        <x:v>1750</x:v>
      </x:c>
      <x:c r="AA186" s="114" t="n">
        <x:f>AA178*'Scenarios'!$E$24*'Scenarios'!$E$5</x:f>
        <x:v>2625</x:v>
      </x:c>
      <x:c r="AB186" s="114" t="n">
        <x:f>AB178*'Scenarios'!$E$24*'Scenarios'!$E$5</x:f>
        <x:v>2625</x:v>
      </x:c>
      <x:c r="AC186" s="114" t="n">
        <x:f>AC178*'Scenarios'!$E$24*'Scenarios'!$E$5</x:f>
        <x:v>2625</x:v>
      </x:c>
      <x:c r="AD186" s="114" t="n">
        <x:f>AD178*'Scenarios'!$E$24*'Scenarios'!$E$5</x:f>
        <x:v>2625</x:v>
      </x:c>
      <x:c r="AE186" s="114" t="n">
        <x:f>AE178*'Scenarios'!$E$24*'Scenarios'!$E$5</x:f>
        <x:v>2625</x:v>
      </x:c>
      <x:c r="AF186" s="114" t="n">
        <x:f>AF178*'Scenarios'!$E$24*'Scenarios'!$E$5</x:f>
        <x:v>2625</x:v>
      </x:c>
      <x:c r="AG186" s="114" t="n">
        <x:f>AG178*'Scenarios'!$E$24*'Scenarios'!$E$5</x:f>
        <x:v>2625</x:v>
      </x:c>
      <x:c r="AH186" s="114" t="n">
        <x:f>AH178*'Scenarios'!$E$24*'Scenarios'!$E$5</x:f>
        <x:v>2625</x:v>
      </x:c>
      <x:c r="AI186" s="114" t="n">
        <x:f>AI178*'Scenarios'!$E$24*'Scenarios'!$E$5</x:f>
        <x:v>2625</x:v>
      </x:c>
      <x:c r="AJ186" s="114" t="n">
        <x:f>AJ178*'Scenarios'!$E$24*'Scenarios'!$E$5</x:f>
        <x:v>2625</x:v>
      </x:c>
      <x:c r="AK186" s="114" t="n">
        <x:f>AK178*'Scenarios'!$E$24*'Scenarios'!$E$5</x:f>
        <x:v>2625</x:v>
      </x:c>
      <x:c r="AL186" s="114" t="n">
        <x:f>AL178*'Scenarios'!$E$24*'Scenarios'!$E$5</x:f>
        <x:v>2625</x:v>
      </x:c>
    </x:row>
    <x:row r="187">
      <x:c r="A187" s="84" t="str">
        <x:v>Monthly recurring revenue (MRR)</x:v>
      </x:c>
      <x:c r="B187" s="84" t="str">
        <x:v>$</x:v>
      </x:c>
      <x:c r="C187" s="115" t="n">
        <x:f>SUM(C182:C184)</x:f>
        <x:v>0</x:v>
      </x:c>
      <x:c r="D187" s="115" t="n">
        <x:f>SUM(D182:D184)</x:f>
        <x:v>0</x:v>
      </x:c>
      <x:c r="E187" s="115" t="n">
        <x:f>SUM(E182:E184)</x:f>
        <x:v>2179.97766</x:v>
      </x:c>
      <x:c r="F187" s="115" t="n">
        <x:f>SUM(F182:F184)</x:f>
        <x:v>4338.1555434</x:v>
      </x:c>
      <x:c r="G187" s="115" t="n">
        <x:f>SUM(G182:G184)</x:f>
        <x:v>6474.751647966001</x:v>
      </x:c>
      <x:c r="H187" s="115" t="n">
        <x:f>SUM(H182:H184)</x:f>
        <x:v>9663.702131486341</x:v>
      </x:c>
      <x:c r="I187" s="115" t="n">
        <x:f>SUM(I182:I184)</x:f>
        <x:v>12820.763110171476</x:v>
      </x:c>
      <x:c r="J187" s="115" t="n">
        <x:f>SUM(J182:J184)</x:f>
        <x:v>15946.253479069765</x:v>
      </x:c>
      <x:c r="K187" s="115" t="n">
        <x:f>SUM(K182:K184)</x:f>
        <x:v>19853.913444279067</x:v>
      </x:c>
      <x:c r="L187" s="115" t="n">
        <x:f>SUM(L182:L184)</x:f>
        <x:v>23722.496809836273</x:v>
      </x:c>
      <x:c r="M187" s="115" t="n">
        <x:f>SUM(M182:M184)</x:f>
        <x:v>27552.394341737912</x:v>
      </x:c>
      <x:c r="N187" s="115" t="n">
        <x:f>SUM(N182:N184)</x:f>
        <x:v>31343.99289832054</x:v>
      </x:c>
      <x:c r="O187" s="115" t="n">
        <x:f>SUM(O182:O184)</x:f>
        <x:v>35097.67546933733</x:v>
      </x:c>
      <x:c r="P187" s="115" t="n">
        <x:f>SUM(P182:P184)</x:f>
        <x:v>38813.82121464396</x:v>
      </x:c>
      <x:c r="Q187" s="115" t="n">
        <x:f>SUM(Q182:Q184)</x:f>
        <x:v>43306.23000249751</x:v>
      </x:c>
      <x:c r="R187" s="115" t="n">
        <x:f>SUM(R182:R184)</x:f>
        <x:v>47753.71470247255</x:v>
      </x:c>
      <x:c r="S187" s="115" t="n">
        <x:f>SUM(S182:S184)</x:f>
        <x:v>52156.72455544783</x:v>
      </x:c>
      <x:c r="T187" s="115" t="n">
        <x:f>SUM(T182:T184)</x:f>
        <x:v>56515.70430989334</x:v>
      </x:c>
      <x:c r="U187" s="115" t="n">
        <x:f>SUM(U182:U184)</x:f>
        <x:v>60831.09426679442</x:v>
      </x:c>
      <x:c r="V187" s="115" t="n">
        <x:f>SUM(V182:V184)</x:f>
        <x:v>65103.330324126466</x:v>
      </x:c>
      <x:c r="W187" s="115" t="n">
        <x:f>SUM(W182:W184)</x:f>
        <x:v>70959.69302088518</x:v>
      </x:c>
      <x:c r="X187" s="115" t="n">
        <x:f>SUM(X182:X184)</x:f>
        <x:v>76757.49209067636</x:v>
      </x:c>
      <x:c r="Y187" s="115" t="n">
        <x:f>SUM(Y182:Y184)</x:f>
        <x:v>82497.31316976956</x:v>
      </x:c>
      <x:c r="Z187" s="115" t="n">
        <x:f>SUM(Z182:Z184)</x:f>
        <x:v>88179.73603807189</x:v>
      </x:c>
      <x:c r="AA187" s="115" t="n">
        <x:f>SUM(AA182:AA184)</x:f>
        <x:v>93805.33467769116</x:v>
      </x:c>
      <x:c r="AB187" s="115" t="n">
        <x:f>SUM(AB182:AB184)</x:f>
        <x:v>99374.67733091424</x:v>
      </x:c>
      <x:c r="AC187" s="115" t="n">
        <x:f>SUM(AC182:AC184)</x:f>
        <x:v>106515.17555760514</x:v>
      </x:c>
      <x:c r="AD187" s="115" t="n">
        <x:f>SUM(AD182:AD184)</x:f>
        <x:v>113584.26880202907</x:v>
      </x:c>
      <x:c r="AE187" s="115" t="n">
        <x:f>SUM(AE182:AE184)</x:f>
        <x:v>120582.67111400879</x:v>
      </x:c>
      <x:c r="AF187" s="115" t="n">
        <x:f>SUM(AF182:AF184)</x:f>
        <x:v>127511.0894028687</x:v>
      </x:c>
      <x:c r="AG187" s="115" t="n">
        <x:f>SUM(AG182:AG184)</x:f>
        <x:v>134370.22350884002</x:v>
      </x:c>
      <x:c r="AH187" s="115" t="n">
        <x:f>SUM(AH182:AH184)</x:f>
        <x:v>141160.76627375162</x:v>
      </x:c>
      <x:c r="AI187" s="115" t="n">
        <x:f>SUM(AI182:AI184)</x:f>
        <x:v>147883.40361101413</x:v>
      </x:c>
      <x:c r="AJ187" s="115" t="n">
        <x:f>SUM(AJ182:AJ184)</x:f>
        <x:v>154538.81457490395</x:v>
      </x:c>
      <x:c r="AK187" s="115" t="n">
        <x:f>SUM(AK182:AK184)</x:f>
        <x:v>161127.67142915493</x:v>
      </x:c>
      <x:c r="AL187" s="115" t="n">
        <x:f>SUM(AL182:AL184)</x:f>
        <x:v>167650.63971486338</x:v>
      </x:c>
    </x:row>
    <x:row r="188">
      <x:c r="A188" s="84" t="str">
        <x:v>Total revenue</x:v>
      </x:c>
      <x:c r="B188" s="84" t="str">
        <x:v>$</x:v>
      </x:c>
      <x:c r="C188" s="114" t="n">
        <x:f>SUM(C180:C186)</x:f>
        <x:v>3385.6375</x:v>
      </x:c>
      <x:c r="D188" s="114" t="n">
        <x:f>SUM(D180:D186)</x:f>
        <x:v>8194.41175</x:v>
      </x:c>
      <x:c r="E188" s="114" t="n">
        <x:f>SUM(E180:E186)</x:f>
        <x:v>10487.929913124999</x:v>
      </x:c>
      <x:c r="F188" s="114" t="n">
        <x:f>SUM(F180:F186)</x:f>
        <x:v>13564.12539461875</x:v>
      </x:c>
      <x:c r="G188" s="114" t="n">
        <x:f>SUM(G180:G186)</x:f>
        <x:v>18180.50329629756</x:v>
      </x:c>
      <x:c r="H188" s="114" t="n">
        <x:f>SUM(H180:H186)</x:f>
        <x:v>21535.544950834585</x:v>
      </x:c>
      <x:c r="I188" s="114" t="n">
        <x:f>SUM(I180:I186)</x:f>
        <x:v>25467.34868882624</x:v>
      </x:c>
      <x:c r="J188" s="114" t="n">
        <x:f>SUM(J180:J186)</x:f>
        <x:v>30549.943764437976</x:v>
      </x:c>
      <x:c r="K188" s="114" t="n">
        <x:f>SUM(K180:K186)</x:f>
        <x:v>34661.127686168606</x:v>
      </x:c>
      <x:c r="L188" s="114" t="n">
        <x:f>SUM(L180:L186)</x:f>
        <x:v>38731.199768681916</x:v>
      </x:c>
      <x:c r="M188" s="114" t="n">
        <x:f>SUM(M180:M186)</x:f>
        <x:v>42760.571130370095</x:v>
      </x:c>
      <x:c r="N188" s="114" t="n">
        <x:f>SUM(N180:N186)</x:f>
        <x:v>46749.6487784414</x:v>
      </x:c>
      <x:c r="O188" s="114" t="n">
        <x:f>SUM(O180:O186)</x:f>
        <x:v>51309.14815003199</x:v>
      </x:c>
      <x:c r="P188" s="114" t="n">
        <x:f>SUM(P180:P186)</x:f>
        <x:v>57013.161902906664</x:v>
      </x:c>
      <x:c r="Q188" s="114" t="n">
        <x:f>SUM(Q180:Q186)</x:f>
        <x:v>61739.5503151276</x:v>
      </x:c>
      <x:c r="R188" s="114" t="n">
        <x:f>SUM(R180:R186)</x:f>
        <x:v>66418.67484322633</x:v>
      </x:c>
      <x:c r="S188" s="114" t="n">
        <x:f>SUM(S180:S186)</x:f>
        <x:v>71051.00812604406</x:v>
      </x:c>
      <x:c r="T188" s="114" t="n">
        <x:f>SUM(T180:T186)</x:f>
        <x:v>75637.01807603362</x:v>
      </x:c>
      <x:c r="U188" s="114" t="n">
        <x:f>SUM(U180:U186)</x:f>
        <x:v>81397.7929265233</x:v>
      </x:c>
      <x:c r="V188" s="114" t="n">
        <x:f>SUM(V180:V186)</x:f>
        <x:v>89481.17877850805</x:v>
      </x:c>
      <x:c r="W188" s="114" t="n">
        <x:f>SUM(W180:W186)</x:f>
        <x:v>95642.56036572295</x:v>
      </x:c>
      <x:c r="X188" s="114" t="n">
        <x:f>SUM(X180:X186)</x:f>
        <x:v>101742.32813706574</x:v>
      </x:c>
      <x:c r="Y188" s="114" t="n">
        <x:f>SUM(Y180:Y186)</x:f>
        <x:v>107781.09823069508</x:v>
      </x:c>
      <x:c r="Z188" s="114" t="n">
        <x:f>SUM(Z180:Z186)</x:f>
        <x:v>113759.48062338812</x:v>
      </x:c>
      <x:c r="AA188" s="114" t="n">
        <x:f>SUM(AA180:AA186)</x:f>
        <x:v>121773.70419215423</x:v>
      </x:c>
      <x:c r="AB188" s="114" t="n">
        <x:f>SUM(AB180:AB186)</x:f>
        <x:v>131221.7542752327</x:v>
      </x:c>
      <x:c r="AC188" s="114" t="n">
        <x:f>SUM(AC180:AC186)</x:f>
        <x:v>138734.1534512304</x:v>
      </x:c>
      <x:c r="AD188" s="114" t="n">
        <x:f>SUM(AD180:AD186)</x:f>
        <x:v>146171.4286354681</x:v>
      </x:c>
      <x:c r="AE188" s="114" t="n">
        <x:f>SUM(AE180:AE186)</x:f>
        <x:v>153534.33106786342</x:v>
      </x:c>
      <x:c r="AF188" s="114" t="n">
        <x:f>SUM(AF180:AF186)</x:f>
        <x:v>160823.6044759348</x:v>
      </x:c>
      <x:c r="AG188" s="114" t="n">
        <x:f>SUM(AG180:AG186)</x:f>
        <x:v>168039.98514992543</x:v>
      </x:c>
      <x:c r="AH188" s="114" t="n">
        <x:f>SUM(AH180:AH186)</x:f>
        <x:v>175184.2020171762</x:v>
      </x:c>
      <x:c r="AI188" s="114" t="n">
        <x:f>SUM(AI180:AI186)</x:f>
        <x:v>182256.97671575443</x:v>
      </x:c>
      <x:c r="AJ188" s="114" t="n">
        <x:f>SUM(AJ180:AJ186)</x:f>
        <x:v>189259.02366734686</x:v>
      </x:c>
      <x:c r="AK188" s="114" t="n">
        <x:f>SUM(AK180:AK186)</x:f>
        <x:v>196191.05014942342</x:v>
      </x:c>
      <x:c r="AL188" s="114" t="n">
        <x:f>SUM(AL180:AL186)</x:f>
        <x:v>203053.75636667918</x:v>
      </x:c>
    </x:row>
    <x:row r="189">
      <x:c r="A189" s="63" t="str">
        <x:v>DELIVERY CAPACITY</x:v>
      </x:c>
      <x:c r="B189" s="63" t="str"/>
      <x:c r="C189" s="112"/>
      <x:c r="D189" s="112"/>
      <x:c r="E189" s="112"/>
      <x:c r="F189" s="112"/>
      <x:c r="G189" s="112"/>
      <x:c r="H189" s="112"/>
      <x:c r="I189" s="112"/>
      <x:c r="J189" s="112"/>
      <x:c r="K189" s="112"/>
      <x:c r="L189" s="112"/>
      <x:c r="M189" s="112"/>
      <x:c r="N189" s="112"/>
      <x:c r="O189" s="112"/>
      <x:c r="P189" s="112"/>
      <x:c r="Q189" s="112"/>
      <x:c r="R189" s="112"/>
      <x:c r="S189" s="112"/>
      <x:c r="T189" s="112"/>
      <x:c r="U189" s="112"/>
      <x:c r="V189" s="112"/>
      <x:c r="W189" s="112"/>
      <x:c r="X189" s="112"/>
      <x:c r="Y189" s="112"/>
      <x:c r="Z189" s="112"/>
      <x:c r="AA189" s="112"/>
      <x:c r="AB189" s="112"/>
      <x:c r="AC189" s="112"/>
      <x:c r="AD189" s="112"/>
      <x:c r="AE189" s="112"/>
      <x:c r="AF189" s="112"/>
      <x:c r="AG189" s="112"/>
      <x:c r="AH189" s="112"/>
      <x:c r="AI189" s="112"/>
      <x:c r="AJ189" s="112"/>
      <x:c r="AK189" s="112"/>
      <x:c r="AL189" s="112"/>
    </x:row>
    <x:row r="190">
      <x:c r="A190" s="84" t="str">
        <x:v>Review hours</x:v>
      </x:c>
      <x:c r="B190" s="84" t="str">
        <x:v>hours</x:v>
      </x:c>
      <x:c r="C190" s="113" t="n">
        <x:f>C169*'Scenarios'!$E$40*'Scenarios'!$E$47</x:f>
        <x:v>3.9865000000000004</x:v>
      </x:c>
      <x:c r="D190" s="113" t="n">
        <x:f>D169*'Scenarios'!$E$40*'Scenarios'!$E$47</x:f>
        <x:v>3.9865000000000004</x:v>
      </x:c>
      <x:c r="E190" s="113" t="n">
        <x:f>E169*'Scenarios'!$E$40*'Scenarios'!$E$47</x:f>
        <x:v>3.9865000000000004</x:v>
      </x:c>
      <x:c r="F190" s="113" t="n">
        <x:f>F169*'Scenarios'!$E$40*'Scenarios'!$E$47</x:f>
        <x:v>5.95</x:v>
      </x:c>
      <x:c r="G190" s="113" t="n">
        <x:f>G169*'Scenarios'!$E$40*'Scenarios'!$E$47</x:f>
        <x:v>5.95</x:v>
      </x:c>
      <x:c r="H190" s="113" t="n">
        <x:f>H169*'Scenarios'!$E$40*'Scenarios'!$E$47</x:f>
        <x:v>5.95</x:v>
      </x:c>
      <x:c r="I190" s="113" t="n">
        <x:f>I169*'Scenarios'!$E$40*'Scenarios'!$E$47</x:f>
        <x:v>7.4375</x:v>
      </x:c>
      <x:c r="J190" s="113" t="n">
        <x:f>J169*'Scenarios'!$E$40*'Scenarios'!$E$47</x:f>
        <x:v>7.4375</x:v>
      </x:c>
      <x:c r="K190" s="113" t="n">
        <x:f>K169*'Scenarios'!$E$40*'Scenarios'!$E$47</x:f>
        <x:v>7.4375</x:v>
      </x:c>
      <x:c r="L190" s="113" t="n">
        <x:f>L169*'Scenarios'!$E$40*'Scenarios'!$E$47</x:f>
        <x:v>7.4375</x:v>
      </x:c>
      <x:c r="M190" s="113" t="n">
        <x:f>M169*'Scenarios'!$E$40*'Scenarios'!$E$47</x:f>
        <x:v>7.4375</x:v>
      </x:c>
      <x:c r="N190" s="113" t="n">
        <x:f>N169*'Scenarios'!$E$40*'Scenarios'!$E$47</x:f>
        <x:v>7.4375</x:v>
      </x:c>
      <x:c r="O190" s="113" t="n">
        <x:f>O169*'Scenarios'!$E$40*'Scenarios'!$E$47</x:f>
        <x:v>8.924999999999999</x:v>
      </x:c>
      <x:c r="P190" s="113" t="n">
        <x:f>P169*'Scenarios'!$E$40*'Scenarios'!$E$47</x:f>
        <x:v>8.924999999999999</x:v>
      </x:c>
      <x:c r="Q190" s="113" t="n">
        <x:f>Q169*'Scenarios'!$E$40*'Scenarios'!$E$47</x:f>
        <x:v>8.924999999999999</x:v>
      </x:c>
      <x:c r="R190" s="113" t="n">
        <x:f>R169*'Scenarios'!$E$40*'Scenarios'!$E$47</x:f>
        <x:v>8.924999999999999</x:v>
      </x:c>
      <x:c r="S190" s="113" t="n">
        <x:f>S169*'Scenarios'!$E$40*'Scenarios'!$E$47</x:f>
        <x:v>8.924999999999999</x:v>
      </x:c>
      <x:c r="T190" s="113" t="n">
        <x:f>T169*'Scenarios'!$E$40*'Scenarios'!$E$47</x:f>
        <x:v>8.924999999999999</x:v>
      </x:c>
      <x:c r="U190" s="113" t="n">
        <x:f>U169*'Scenarios'!$E$40*'Scenarios'!$E$47</x:f>
        <x:v>11.9</x:v>
      </x:c>
      <x:c r="V190" s="113" t="n">
        <x:f>V169*'Scenarios'!$E$40*'Scenarios'!$E$47</x:f>
        <x:v>11.9</x:v>
      </x:c>
      <x:c r="W190" s="113" t="n">
        <x:f>W169*'Scenarios'!$E$40*'Scenarios'!$E$47</x:f>
        <x:v>11.9</x:v>
      </x:c>
      <x:c r="X190" s="113" t="n">
        <x:f>X169*'Scenarios'!$E$40*'Scenarios'!$E$47</x:f>
        <x:v>11.9</x:v>
      </x:c>
      <x:c r="Y190" s="113" t="n">
        <x:f>Y169*'Scenarios'!$E$40*'Scenarios'!$E$47</x:f>
        <x:v>11.9</x:v>
      </x:c>
      <x:c r="Z190" s="113" t="n">
        <x:f>Z169*'Scenarios'!$E$40*'Scenarios'!$E$47</x:f>
        <x:v>11.9</x:v>
      </x:c>
      <x:c r="AA190" s="113" t="n">
        <x:f>AA169*'Scenarios'!$E$40*'Scenarios'!$E$47</x:f>
        <x:v>14.875</x:v>
      </x:c>
      <x:c r="AB190" s="113" t="n">
        <x:f>AB169*'Scenarios'!$E$40*'Scenarios'!$E$47</x:f>
        <x:v>14.875</x:v>
      </x:c>
      <x:c r="AC190" s="113" t="n">
        <x:f>AC169*'Scenarios'!$E$40*'Scenarios'!$E$47</x:f>
        <x:v>14.875</x:v>
      </x:c>
      <x:c r="AD190" s="113" t="n">
        <x:f>AD169*'Scenarios'!$E$40*'Scenarios'!$E$47</x:f>
        <x:v>14.875</x:v>
      </x:c>
      <x:c r="AE190" s="113" t="n">
        <x:f>AE169*'Scenarios'!$E$40*'Scenarios'!$E$47</x:f>
        <x:v>14.875</x:v>
      </x:c>
      <x:c r="AF190" s="113" t="n">
        <x:f>AF169*'Scenarios'!$E$40*'Scenarios'!$E$47</x:f>
        <x:v>14.875</x:v>
      </x:c>
      <x:c r="AG190" s="113" t="n">
        <x:f>AG169*'Scenarios'!$E$40*'Scenarios'!$E$47</x:f>
        <x:v>14.875</x:v>
      </x:c>
      <x:c r="AH190" s="113" t="n">
        <x:f>AH169*'Scenarios'!$E$40*'Scenarios'!$E$47</x:f>
        <x:v>14.875</x:v>
      </x:c>
      <x:c r="AI190" s="113" t="n">
        <x:f>AI169*'Scenarios'!$E$40*'Scenarios'!$E$47</x:f>
        <x:v>14.875</x:v>
      </x:c>
      <x:c r="AJ190" s="113" t="n">
        <x:f>AJ169*'Scenarios'!$E$40*'Scenarios'!$E$47</x:f>
        <x:v>14.875</x:v>
      </x:c>
      <x:c r="AK190" s="113" t="n">
        <x:f>AK169*'Scenarios'!$E$40*'Scenarios'!$E$47</x:f>
        <x:v>14.875</x:v>
      </x:c>
      <x:c r="AL190" s="113" t="n">
        <x:f>AL169*'Scenarios'!$E$40*'Scenarios'!$E$47</x:f>
        <x:v>14.875</x:v>
      </x:c>
    </x:row>
    <x:row r="191">
      <x:c r="A191" s="84" t="str">
        <x:v>Launch hours</x:v>
      </x:c>
      <x:c r="B191" s="84" t="str">
        <x:v>hours</x:v>
      </x:c>
      <x:c r="C191" s="113" t="n">
        <x:f>C170*'Scenarios'!$E$41*'Scenarios'!$E$47</x:f>
        <x:v>0</x:v>
      </x:c>
      <x:c r="D191" s="113" t="n">
        <x:f>D170*'Scenarios'!$E$41*'Scenarios'!$E$47</x:f>
        <x:v>13.5541</x:v>
      </x:c>
      <x:c r="E191" s="113" t="n">
        <x:f>E170*'Scenarios'!$E$41*'Scenarios'!$E$47</x:f>
        <x:v>13.5541</x:v>
      </x:c>
      <x:c r="F191" s="113" t="n">
        <x:f>F170*'Scenarios'!$E$41*'Scenarios'!$E$47</x:f>
        <x:v>13.5541</x:v>
      </x:c>
      <x:c r="G191" s="113" t="n">
        <x:f>G170*'Scenarios'!$E$41*'Scenarios'!$E$47</x:f>
        <x:v>20.229999999999997</x:v>
      </x:c>
      <x:c r="H191" s="113" t="n">
        <x:f>H170*'Scenarios'!$E$41*'Scenarios'!$E$47</x:f>
        <x:v>20.229999999999997</x:v>
      </x:c>
      <x:c r="I191" s="113" t="n">
        <x:f>I170*'Scenarios'!$E$41*'Scenarios'!$E$47</x:f>
        <x:v>20.229999999999997</x:v>
      </x:c>
      <x:c r="J191" s="113" t="n">
        <x:f>J170*'Scenarios'!$E$41*'Scenarios'!$E$47</x:f>
        <x:v>25.287499999999998</x:v>
      </x:c>
      <x:c r="K191" s="113" t="n">
        <x:f>K170*'Scenarios'!$E$41*'Scenarios'!$E$47</x:f>
        <x:v>25.287499999999998</x:v>
      </x:c>
      <x:c r="L191" s="113" t="n">
        <x:f>L170*'Scenarios'!$E$41*'Scenarios'!$E$47</x:f>
        <x:v>25.287499999999998</x:v>
      </x:c>
      <x:c r="M191" s="113" t="n">
        <x:f>M170*'Scenarios'!$E$41*'Scenarios'!$E$47</x:f>
        <x:v>25.287499999999998</x:v>
      </x:c>
      <x:c r="N191" s="113" t="n">
        <x:f>N170*'Scenarios'!$E$41*'Scenarios'!$E$47</x:f>
        <x:v>25.287499999999998</x:v>
      </x:c>
      <x:c r="O191" s="113" t="n">
        <x:f>O170*'Scenarios'!$E$41*'Scenarios'!$E$47</x:f>
        <x:v>25.287499999999998</x:v>
      </x:c>
      <x:c r="P191" s="113" t="n">
        <x:f>P170*'Scenarios'!$E$41*'Scenarios'!$E$47</x:f>
        <x:v>30.344999999999995</x:v>
      </x:c>
      <x:c r="Q191" s="113" t="n">
        <x:f>Q170*'Scenarios'!$E$41*'Scenarios'!$E$47</x:f>
        <x:v>30.344999999999995</x:v>
      </x:c>
      <x:c r="R191" s="113" t="n">
        <x:f>R170*'Scenarios'!$E$41*'Scenarios'!$E$47</x:f>
        <x:v>30.344999999999995</x:v>
      </x:c>
      <x:c r="S191" s="113" t="n">
        <x:f>S170*'Scenarios'!$E$41*'Scenarios'!$E$47</x:f>
        <x:v>30.344999999999995</x:v>
      </x:c>
      <x:c r="T191" s="113" t="n">
        <x:f>T170*'Scenarios'!$E$41*'Scenarios'!$E$47</x:f>
        <x:v>30.344999999999995</x:v>
      </x:c>
      <x:c r="U191" s="113" t="n">
        <x:f>U170*'Scenarios'!$E$41*'Scenarios'!$E$47</x:f>
        <x:v>30.344999999999995</x:v>
      </x:c>
      <x:c r="V191" s="113" t="n">
        <x:f>V170*'Scenarios'!$E$41*'Scenarios'!$E$47</x:f>
        <x:v>40.459999999999994</x:v>
      </x:c>
      <x:c r="W191" s="113" t="n">
        <x:f>W170*'Scenarios'!$E$41*'Scenarios'!$E$47</x:f>
        <x:v>40.459999999999994</x:v>
      </x:c>
      <x:c r="X191" s="113" t="n">
        <x:f>X170*'Scenarios'!$E$41*'Scenarios'!$E$47</x:f>
        <x:v>40.459999999999994</x:v>
      </x:c>
      <x:c r="Y191" s="113" t="n">
        <x:f>Y170*'Scenarios'!$E$41*'Scenarios'!$E$47</x:f>
        <x:v>40.459999999999994</x:v>
      </x:c>
      <x:c r="Z191" s="113" t="n">
        <x:f>Z170*'Scenarios'!$E$41*'Scenarios'!$E$47</x:f>
        <x:v>40.459999999999994</x:v>
      </x:c>
      <x:c r="AA191" s="113" t="n">
        <x:f>AA170*'Scenarios'!$E$41*'Scenarios'!$E$47</x:f>
        <x:v>40.459999999999994</x:v>
      </x:c>
      <x:c r="AB191" s="113" t="n">
        <x:f>AB170*'Scenarios'!$E$41*'Scenarios'!$E$47</x:f>
        <x:v>50.574999999999996</x:v>
      </x:c>
      <x:c r="AC191" s="113" t="n">
        <x:f>AC170*'Scenarios'!$E$41*'Scenarios'!$E$47</x:f>
        <x:v>50.574999999999996</x:v>
      </x:c>
      <x:c r="AD191" s="113" t="n">
        <x:f>AD170*'Scenarios'!$E$41*'Scenarios'!$E$47</x:f>
        <x:v>50.574999999999996</x:v>
      </x:c>
      <x:c r="AE191" s="113" t="n">
        <x:f>AE170*'Scenarios'!$E$41*'Scenarios'!$E$47</x:f>
        <x:v>50.574999999999996</x:v>
      </x:c>
      <x:c r="AF191" s="113" t="n">
        <x:f>AF170*'Scenarios'!$E$41*'Scenarios'!$E$47</x:f>
        <x:v>50.574999999999996</x:v>
      </x:c>
      <x:c r="AG191" s="113" t="n">
        <x:f>AG170*'Scenarios'!$E$41*'Scenarios'!$E$47</x:f>
        <x:v>50.574999999999996</x:v>
      </x:c>
      <x:c r="AH191" s="113" t="n">
        <x:f>AH170*'Scenarios'!$E$41*'Scenarios'!$E$47</x:f>
        <x:v>50.574999999999996</x:v>
      </x:c>
      <x:c r="AI191" s="113" t="n">
        <x:f>AI170*'Scenarios'!$E$41*'Scenarios'!$E$47</x:f>
        <x:v>50.574999999999996</x:v>
      </x:c>
      <x:c r="AJ191" s="113" t="n">
        <x:f>AJ170*'Scenarios'!$E$41*'Scenarios'!$E$47</x:f>
        <x:v>50.574999999999996</x:v>
      </x:c>
      <x:c r="AK191" s="113" t="n">
        <x:f>AK170*'Scenarios'!$E$41*'Scenarios'!$E$47</x:f>
        <x:v>50.574999999999996</x:v>
      </x:c>
      <x:c r="AL191" s="113" t="n">
        <x:f>AL170*'Scenarios'!$E$41*'Scenarios'!$E$47</x:f>
        <x:v>50.574999999999996</x:v>
      </x:c>
    </x:row>
    <x:row r="192">
      <x:c r="A192" s="84" t="str">
        <x:v>Core recurring hours</x:v>
      </x:c>
      <x:c r="B192" s="84" t="str">
        <x:v>hours</x:v>
      </x:c>
      <x:c r="C192" s="113" t="n">
        <x:f>C174*'Scenarios'!$E$42*'Scenarios'!$E$47</x:f>
        <x:v>0</x:v>
      </x:c>
      <x:c r="D192" s="113" t="n">
        <x:f>D174*'Scenarios'!$E$42*'Scenarios'!$E$47</x:f>
        <x:v>0</x:v>
      </x:c>
      <x:c r="E192" s="113" t="n">
        <x:f>E174*'Scenarios'!$E$42*'Scenarios'!$E$47</x:f>
        <x:v>0.40662299999999996</x:v>
      </x:c>
      <x:c r="F192" s="113" t="n">
        <x:f>F174*'Scenarios'!$E$42*'Scenarios'!$E$47</x:f>
        <x:v>0.80917977</x:v>
      </x:c>
      <x:c r="G192" s="113" t="n">
        <x:f>G174*'Scenarios'!$E$42*'Scenarios'!$E$47</x:f>
        <x:v>1.2077109723</x:v>
      </x:c>
      <x:c r="H192" s="113" t="n">
        <x:f>H174*'Scenarios'!$E$42*'Scenarios'!$E$47</x:f>
        <x:v>1.8025338625769998</x:v>
      </x:c>
      <x:c r="I192" s="113" t="n">
        <x:f>I174*'Scenarios'!$E$42*'Scenarios'!$E$47</x:f>
        <x:v>2.3914085239512293</x:v>
      </x:c>
      <x:c r="J192" s="113" t="n">
        <x:f>J174*'Scenarios'!$E$42*'Scenarios'!$E$47</x:f>
        <x:v>2.974394438711718</x:v>
      </x:c>
      <x:c r="K192" s="113" t="n">
        <x:f>K174*'Scenarios'!$E$42*'Scenarios'!$E$47</x:f>
        <x:v>3.7032754943246005</x:v>
      </x:c>
      <x:c r="L192" s="113" t="n">
        <x:f>L174*'Scenarios'!$E$42*'Scenarios'!$E$47</x:f>
        <x:v>4.424867739381354</x:v>
      </x:c>
      <x:c r="M192" s="113" t="n">
        <x:f>M174*'Scenarios'!$E$42*'Scenarios'!$E$47</x:f>
        <x:v>5.139244061987542</x:v>
      </x:c>
      <x:c r="N192" s="113" t="n">
        <x:f>N174*'Scenarios'!$E$42*'Scenarios'!$E$47</x:f>
        <x:v>5.846476621367666</x:v>
      </x:c>
      <x:c r="O192" s="113" t="n">
        <x:f>O174*'Scenarios'!$E$42*'Scenarios'!$E$47</x:f>
        <x:v>6.54663685515399</x:v>
      </x:c>
      <x:c r="P192" s="113" t="n">
        <x:f>P174*'Scenarios'!$E$42*'Scenarios'!$E$47</x:f>
        <x:v>7.23979548660245</x:v>
      </x:c>
      <x:c r="Q192" s="113" t="n">
        <x:f>Q174*'Scenarios'!$E$42*'Scenarios'!$E$47</x:f>
        <x:v>8.077747531736426</x:v>
      </x:c>
      <x:c r="R192" s="113" t="n">
        <x:f>R174*'Scenarios'!$E$42*'Scenarios'!$E$47</x:f>
        <x:v>8.907320056419062</x:v>
      </x:c>
      <x:c r="S192" s="113" t="n">
        <x:f>S174*'Scenarios'!$E$42*'Scenarios'!$E$47</x:f>
        <x:v>9.728596855854871</x:v>
      </x:c>
      <x:c r="T192" s="113" t="n">
        <x:f>T174*'Scenarios'!$E$42*'Scenarios'!$E$47</x:f>
        <x:v>10.541660887296322</x:v>
      </x:c>
      <x:c r="U192" s="113" t="n">
        <x:f>U174*'Scenarios'!$E$42*'Scenarios'!$E$47</x:f>
        <x:v>11.346594278423359</x:v>
      </x:c>
      <x:c r="V192" s="113" t="n">
        <x:f>V174*'Scenarios'!$E$42*'Scenarios'!$E$47</x:f>
        <x:v>12.143478335639125</x:v>
      </x:c>
      <x:c r="W192" s="113" t="n">
        <x:f>W174*'Scenarios'!$E$42*'Scenarios'!$E$47</x:f>
        <x:v>13.235843552282732</x:v>
      </x:c>
      <x:c r="X192" s="113" t="n">
        <x:f>X174*'Scenarios'!$E$42*'Scenarios'!$E$47</x:f>
        <x:v>14.317285116759905</x:v>
      </x:c>
      <x:c r="Y192" s="113" t="n">
        <x:f>Y174*'Scenarios'!$E$42*'Scenarios'!$E$47</x:f>
        <x:v>15.387912265592306</x:v>
      </x:c>
      <x:c r="Z192" s="113" t="n">
        <x:f>Z174*'Scenarios'!$E$42*'Scenarios'!$E$47</x:f>
        <x:v>16.44783314293638</x:v>
      </x:c>
      <x:c r="AA192" s="113" t="n">
        <x:f>AA174*'Scenarios'!$E$42*'Scenarios'!$E$47</x:f>
        <x:v>17.497154811507016</x:v>
      </x:c>
      <x:c r="AB192" s="113" t="n">
        <x:f>AB174*'Scenarios'!$E$42*'Scenarios'!$E$47</x:f>
        <x:v>18.53598326339195</x:v>
      </x:c>
      <x:c r="AC192" s="113" t="n">
        <x:f>AC174*'Scenarios'!$E$42*'Scenarios'!$E$47</x:f>
        <x:v>19.86787343075803</x:v>
      </x:c>
      <x:c r="AD192" s="113" t="n">
        <x:f>AD174*'Scenarios'!$E$42*'Scenarios'!$E$47</x:f>
        <x:v>21.18644469645045</x:v>
      </x:c>
      <x:c r="AE192" s="113" t="n">
        <x:f>AE174*'Scenarios'!$E$42*'Scenarios'!$E$47</x:f>
        <x:v>22.49183024948595</x:v>
      </x:c>
      <x:c r="AF192" s="113" t="n">
        <x:f>AF174*'Scenarios'!$E$42*'Scenarios'!$E$47</x:f>
        <x:v>23.78416194699109</x:v>
      </x:c>
      <x:c r="AG192" s="113" t="n">
        <x:f>AG174*'Scenarios'!$E$42*'Scenarios'!$E$47</x:f>
        <x:v>25.063570327521177</x:v>
      </x:c>
      <x:c r="AH192" s="113" t="n">
        <x:f>AH174*'Scenarios'!$E$42*'Scenarios'!$E$47</x:f>
        <x:v>26.330184624245966</x:v>
      </x:c>
      <x:c r="AI192" s="113" t="n">
        <x:f>AI174*'Scenarios'!$E$42*'Scenarios'!$E$47</x:f>
        <x:v>27.584132778003507</x:v>
      </x:c>
      <x:c r="AJ192" s="113" t="n">
        <x:f>AJ174*'Scenarios'!$E$42*'Scenarios'!$E$47</x:f>
        <x:v>28.825541450223472</x:v>
      </x:c>
      <x:c r="AK192" s="113" t="n">
        <x:f>AK174*'Scenarios'!$E$42*'Scenarios'!$E$47</x:f>
        <x:v>30.05453603572124</x:v>
      </x:c>
      <x:c r="AL192" s="113" t="n">
        <x:f>AL174*'Scenarios'!$E$42*'Scenarios'!$E$47</x:f>
        <x:v>31.27124067536403</x:v>
      </x:c>
    </x:row>
    <x:row r="193">
      <x:c r="A193" s="84" t="str">
        <x:v>Operate recurring hours</x:v>
      </x:c>
      <x:c r="B193" s="84" t="str">
        <x:v>hours</x:v>
      </x:c>
      <x:c r="C193" s="113" t="n">
        <x:f>C175*'Scenarios'!$E$43*'Scenarios'!$E$47</x:f>
        <x:v>0</x:v>
      </x:c>
      <x:c r="D193" s="113" t="n">
        <x:f>D175*'Scenarios'!$E$43*'Scenarios'!$E$47</x:f>
        <x:v>0</x:v>
      </x:c>
      <x:c r="E193" s="113" t="n">
        <x:f>E175*'Scenarios'!$E$43*'Scenarios'!$E$47</x:f>
        <x:v>1.6942624999999998</x:v>
      </x:c>
      <x:c r="F193" s="113" t="n">
        <x:f>F175*'Scenarios'!$E$43*'Scenarios'!$E$47</x:f>
        <x:v>3.3715823749999996</x:v>
      </x:c>
      <x:c r="G193" s="113" t="n">
        <x:f>G175*'Scenarios'!$E$43*'Scenarios'!$E$47</x:f>
        <x:v>5.032129051249999</x:v>
      </x:c>
      <x:c r="H193" s="113" t="n">
        <x:f>H175*'Scenarios'!$E$43*'Scenarios'!$E$47</x:f>
        <x:v>7.510557760737498</x:v>
      </x:c>
      <x:c r="I193" s="113" t="n">
        <x:f>I175*'Scenarios'!$E$43*'Scenarios'!$E$47</x:f>
        <x:v>9.964202183130123</x:v>
      </x:c>
      <x:c r="J193" s="113" t="n">
        <x:f>J175*'Scenarios'!$E$43*'Scenarios'!$E$47</x:f>
        <x:v>12.393310161298823</x:v>
      </x:c>
      <x:c r="K193" s="113" t="n">
        <x:f>K175*'Scenarios'!$E$43*'Scenarios'!$E$47</x:f>
        <x:v>15.430314559685835</x:v>
      </x:c>
      <x:c r="L193" s="113" t="n">
        <x:f>L175*'Scenarios'!$E$43*'Scenarios'!$E$47</x:f>
        <x:v>18.436948914088976</x:v>
      </x:c>
      <x:c r="M193" s="113" t="n">
        <x:f>M175*'Scenarios'!$E$43*'Scenarios'!$E$47</x:f>
        <x:v>21.413516924948087</x:v>
      </x:c>
      <x:c r="N193" s="113" t="n">
        <x:f>N175*'Scenarios'!$E$43*'Scenarios'!$E$47</x:f>
        <x:v>24.360319255698606</x:v>
      </x:c>
      <x:c r="O193" s="113" t="n">
        <x:f>O175*'Scenarios'!$E$43*'Scenarios'!$E$47</x:f>
        <x:v>27.277653563141623</x:v>
      </x:c>
      <x:c r="P193" s="113" t="n">
        <x:f>P175*'Scenarios'!$E$43*'Scenarios'!$E$47</x:f>
        <x:v>30.165814527510207</x:v>
      </x:c>
      <x:c r="Q193" s="113" t="n">
        <x:f>Q175*'Scenarios'!$E$43*'Scenarios'!$E$47</x:f>
        <x:v>33.657281382235105</x:v>
      </x:c>
      <x:c r="R193" s="113" t="n">
        <x:f>R175*'Scenarios'!$E$43*'Scenarios'!$E$47</x:f>
        <x:v>37.11383356841275</x:v>
      </x:c>
      <x:c r="S193" s="113" t="n">
        <x:f>S175*'Scenarios'!$E$43*'Scenarios'!$E$47</x:f>
        <x:v>40.535820232728625</x:v>
      </x:c>
      <x:c r="T193" s="113" t="n">
        <x:f>T175*'Scenarios'!$E$43*'Scenarios'!$E$47</x:f>
        <x:v>43.923587030401336</x:v>
      </x:c>
      <x:c r="U193" s="113" t="n">
        <x:f>U175*'Scenarios'!$E$43*'Scenarios'!$E$47</x:f>
        <x:v>47.27747616009733</x:v>
      </x:c>
      <x:c r="V193" s="113" t="n">
        <x:f>V175*'Scenarios'!$E$43*'Scenarios'!$E$47</x:f>
        <x:v>50.59782639849635</x:v>
      </x:c>
      <x:c r="W193" s="113" t="n">
        <x:f>W175*'Scenarios'!$E$43*'Scenarios'!$E$47</x:f>
        <x:v>55.149348134511385</x:v>
      </x:c>
      <x:c r="X193" s="113" t="n">
        <x:f>X175*'Scenarios'!$E$43*'Scenarios'!$E$47</x:f>
        <x:v>59.65535465316627</x:v>
      </x:c>
      <x:c r="Y193" s="113" t="n">
        <x:f>Y175*'Scenarios'!$E$43*'Scenarios'!$E$47</x:f>
        <x:v>64.1163011066346</x:v>
      </x:c>
      <x:c r="Z193" s="113" t="n">
        <x:f>Z175*'Scenarios'!$E$43*'Scenarios'!$E$47</x:f>
        <x:v>68.53263809556825</x:v>
      </x:c>
      <x:c r="AA193" s="113" t="n">
        <x:f>AA175*'Scenarios'!$E$43*'Scenarios'!$E$47</x:f>
        <x:v>72.90481171461256</x:v>
      </x:c>
      <x:c r="AB193" s="113" t="n">
        <x:f>AB175*'Scenarios'!$E$43*'Scenarios'!$E$47</x:f>
        <x:v>77.23326359746645</x:v>
      </x:c>
      <x:c r="AC193" s="113" t="n">
        <x:f>AC175*'Scenarios'!$E$43*'Scenarios'!$E$47</x:f>
        <x:v>82.7828059614918</x:v>
      </x:c>
      <x:c r="AD193" s="113" t="n">
        <x:f>AD175*'Scenarios'!$E$43*'Scenarios'!$E$47</x:f>
        <x:v>88.27685290187688</x:v>
      </x:c>
      <x:c r="AE193" s="113" t="n">
        <x:f>AE175*'Scenarios'!$E$43*'Scenarios'!$E$47</x:f>
        <x:v>93.71595937285812</x:v>
      </x:c>
      <x:c r="AF193" s="113" t="n">
        <x:f>AF175*'Scenarios'!$E$43*'Scenarios'!$E$47</x:f>
        <x:v>99.10067477912953</x:v>
      </x:c>
      <x:c r="AG193" s="113" t="n">
        <x:f>AG175*'Scenarios'!$E$43*'Scenarios'!$E$47</x:f>
        <x:v>104.43154303133824</x:v>
      </x:c>
      <x:c r="AH193" s="113" t="n">
        <x:f>AH175*'Scenarios'!$E$43*'Scenarios'!$E$47</x:f>
        <x:v>109.70910260102484</x:v>
      </x:c>
      <x:c r="AI193" s="113" t="n">
        <x:f>AI175*'Scenarios'!$E$43*'Scenarios'!$E$47</x:f>
        <x:v>114.93388657501461</x:v>
      </x:c>
      <x:c r="AJ193" s="113" t="n">
        <x:f>AJ175*'Scenarios'!$E$43*'Scenarios'!$E$47</x:f>
        <x:v>120.10642270926446</x:v>
      </x:c>
      <x:c r="AK193" s="113" t="n">
        <x:f>AK175*'Scenarios'!$E$43*'Scenarios'!$E$47</x:f>
        <x:v>125.22723348217183</x:v>
      </x:c>
      <x:c r="AL193" s="113" t="n">
        <x:f>AL175*'Scenarios'!$E$43*'Scenarios'!$E$47</x:f>
        <x:v>130.2968361473501</x:v>
      </x:c>
    </x:row>
    <x:row r="194">
      <x:c r="A194" s="84" t="str">
        <x:v>Scale recurring hours</x:v>
      </x:c>
      <x:c r="B194" s="84" t="str">
        <x:v>hours</x:v>
      </x:c>
      <x:c r="C194" s="113" t="n">
        <x:f>C176*'Scenarios'!$E$44*'Scenarios'!$E$47</x:f>
        <x:v>0</x:v>
      </x:c>
      <x:c r="D194" s="113" t="n">
        <x:f>D176*'Scenarios'!$E$44*'Scenarios'!$E$47</x:f>
        <x:v>0</x:v>
      </x:c>
      <x:c r="E194" s="113" t="n">
        <x:f>E176*'Scenarios'!$E$44*'Scenarios'!$E$47</x:f>
        <x:v>1.7281477499999995</x:v>
      </x:c>
      <x:c r="F194" s="113" t="n">
        <x:f>F176*'Scenarios'!$E$44*'Scenarios'!$E$47</x:f>
        <x:v>3.4390140224999994</x:v>
      </x:c>
      <x:c r="G194" s="113" t="n">
        <x:f>G176*'Scenarios'!$E$44*'Scenarios'!$E$47</x:f>
        <x:v>5.1327716322749986</x:v>
      </x:c>
      <x:c r="H194" s="113" t="n">
        <x:f>H176*'Scenarios'!$E$44*'Scenarios'!$E$47</x:f>
        <x:v>7.660768915952248</x:v>
      </x:c>
      <x:c r="I194" s="113" t="n">
        <x:f>I176*'Scenarios'!$E$44*'Scenarios'!$E$47</x:f>
        <x:v>10.163486226792726</x:v>
      </x:c>
      <x:c r="J194" s="113" t="n">
        <x:f>J176*'Scenarios'!$E$44*'Scenarios'!$E$47</x:f>
        <x:v>12.6411763645248</x:v>
      </x:c>
      <x:c r="K194" s="113" t="n">
        <x:f>K176*'Scenarios'!$E$44*'Scenarios'!$E$47</x:f>
        <x:v>15.738920850879548</x:v>
      </x:c>
      <x:c r="L194" s="113" t="n">
        <x:f>L176*'Scenarios'!$E$44*'Scenarios'!$E$47</x:f>
        <x:v>18.805687892370752</x:v>
      </x:c>
      <x:c r="M194" s="113" t="n">
        <x:f>M176*'Scenarios'!$E$44*'Scenarios'!$E$47</x:f>
        <x:v>21.84178726344705</x:v>
      </x:c>
      <x:c r="N194" s="113" t="n">
        <x:f>N176*'Scenarios'!$E$44*'Scenarios'!$E$47</x:f>
        <x:v>24.84752564081258</x:v>
      </x:c>
      <x:c r="O194" s="113" t="n">
        <x:f>O176*'Scenarios'!$E$44*'Scenarios'!$E$47</x:f>
        <x:v>27.82320663440445</x:v>
      </x:c>
      <x:c r="P194" s="113" t="n">
        <x:f>P176*'Scenarios'!$E$44*'Scenarios'!$E$47</x:f>
        <x:v>30.769130818060408</x:v>
      </x:c>
      <x:c r="Q194" s="113" t="n">
        <x:f>Q176*'Scenarios'!$E$44*'Scenarios'!$E$47</x:f>
        <x:v>34.330427009879806</x:v>
      </x:c>
      <x:c r="R194" s="113" t="n">
        <x:f>R176*'Scenarios'!$E$44*'Scenarios'!$E$47</x:f>
        <x:v>37.85611023978101</x:v>
      </x:c>
      <x:c r="S194" s="113" t="n">
        <x:f>S176*'Scenarios'!$E$44*'Scenarios'!$E$47</x:f>
        <x:v>41.346536637383196</x:v>
      </x:c>
      <x:c r="T194" s="113" t="n">
        <x:f>T176*'Scenarios'!$E$44*'Scenarios'!$E$47</x:f>
        <x:v>44.802058771009364</x:v>
      </x:c>
      <x:c r="U194" s="113" t="n">
        <x:f>U176*'Scenarios'!$E$44*'Scenarios'!$E$47</x:f>
        <x:v>48.22302568329928</x:v>
      </x:c>
      <x:c r="V194" s="113" t="n">
        <x:f>V176*'Scenarios'!$E$44*'Scenarios'!$E$47</x:f>
        <x:v>51.60978292646627</x:v>
      </x:c>
      <x:c r="W194" s="113" t="n">
        <x:f>W176*'Scenarios'!$E$44*'Scenarios'!$E$47</x:f>
        <x:v>56.252335097201616</x:v>
      </x:c>
      <x:c r="X194" s="113" t="n">
        <x:f>X176*'Scenarios'!$E$44*'Scenarios'!$E$47</x:f>
        <x:v>60.848461746229596</x:v>
      </x:c>
      <x:c r="Y194" s="113" t="n">
        <x:f>Y176*'Scenarios'!$E$44*'Scenarios'!$E$47</x:f>
        <x:v>65.39862712876729</x:v>
      </x:c>
      <x:c r="Z194" s="113" t="n">
        <x:f>Z176*'Scenarios'!$E$44*'Scenarios'!$E$47</x:f>
        <x:v>69.90329085747962</x:v>
      </x:c>
      <x:c r="AA194" s="113" t="n">
        <x:f>AA176*'Scenarios'!$E$44*'Scenarios'!$E$47</x:f>
        <x:v>74.36290794890483</x:v>
      </x:c>
      <x:c r="AB194" s="113" t="n">
        <x:f>AB176*'Scenarios'!$E$44*'Scenarios'!$E$47</x:f>
        <x:v>78.77792886941577</x:v>
      </x:c>
      <x:c r="AC194" s="113" t="n">
        <x:f>AC176*'Scenarios'!$E$44*'Scenarios'!$E$47</x:f>
        <x:v>84.43846208072162</x:v>
      </x:c>
      <x:c r="AD194" s="113" t="n">
        <x:f>AD176*'Scenarios'!$E$44*'Scenarios'!$E$47</x:f>
        <x:v>90.04238995991442</x:v>
      </x:c>
      <x:c r="AE194" s="113" t="n">
        <x:f>AE176*'Scenarios'!$E$44*'Scenarios'!$E$47</x:f>
        <x:v>95.59027856031528</x:v>
      </x:c>
      <x:c r="AF194" s="113" t="n">
        <x:f>AF176*'Scenarios'!$E$44*'Scenarios'!$E$47</x:f>
        <x:v>101.08268827471213</x:v>
      </x:c>
      <x:c r="AG194" s="113" t="n">
        <x:f>AG176*'Scenarios'!$E$44*'Scenarios'!$E$47</x:f>
        <x:v>106.520173891965</x:v>
      </x:c>
      <x:c r="AH194" s="113" t="n">
        <x:f>AH176*'Scenarios'!$E$44*'Scenarios'!$E$47</x:f>
        <x:v>111.90328465304535</x:v>
      </x:c>
      <x:c r="AI194" s="113" t="n">
        <x:f>AI176*'Scenarios'!$E$44*'Scenarios'!$E$47</x:f>
        <x:v>117.23256430651489</x:v>
      </x:c>
      <x:c r="AJ194" s="113" t="n">
        <x:f>AJ176*'Scenarios'!$E$44*'Scenarios'!$E$47</x:f>
        <x:v>122.50855116344975</x:v>
      </x:c>
      <x:c r="AK194" s="113" t="n">
        <x:f>AK176*'Scenarios'!$E$44*'Scenarios'!$E$47</x:f>
        <x:v>127.73177815181525</x:v>
      </x:c>
      <x:c r="AL194" s="113" t="n">
        <x:f>AL176*'Scenarios'!$E$44*'Scenarios'!$E$47</x:f>
        <x:v>132.9027728702971</x:v>
      </x:c>
    </x:row>
    <x:row r="195">
      <x:c r="A195" s="84" t="str">
        <x:v>Expansion hours</x:v>
      </x:c>
      <x:c r="B195" s="84" t="str">
        <x:v>hours</x:v>
      </x:c>
      <x:c r="C195" s="113" t="n">
        <x:f>C177*'Scenarios'!$E$45*'Scenarios'!$E$47</x:f>
        <x:v>0</x:v>
      </x:c>
      <x:c r="D195" s="113" t="n">
        <x:f>D177*'Scenarios'!$E$45*'Scenarios'!$E$47</x:f>
        <x:v>0</x:v>
      </x:c>
      <x:c r="E195" s="113" t="n">
        <x:f>E177*'Scenarios'!$E$45*'Scenarios'!$E$47</x:f>
        <x:v>0.19766395833333328</x:v>
      </x:c>
      <x:c r="F195" s="113" t="n">
        <x:f>F177*'Scenarios'!$E$45*'Scenarios'!$E$47</x:f>
        <x:v>0.3933512770833333</x:v>
      </x:c>
      <x:c r="G195" s="113" t="n">
        <x:f>G177*'Scenarios'!$E$45*'Scenarios'!$E$47</x:f>
        <x:v>0.5870817226458332</x:v>
      </x:c>
      <x:c r="H195" s="113" t="n">
        <x:f>H177*'Scenarios'!$E$45*'Scenarios'!$E$47</x:f>
        <x:v>0.8762317387527082</x:v>
      </x:c>
      <x:c r="I195" s="113" t="n">
        <x:f>I177*'Scenarios'!$E$45*'Scenarios'!$E$47</x:f>
        <x:v>1.1624902546985143</x:v>
      </x:c>
      <x:c r="J195" s="113" t="n">
        <x:f>J177*'Scenarios'!$E$45*'Scenarios'!$E$47</x:f>
        <x:v>1.4458861854848626</x:v>
      </x:c>
      <x:c r="K195" s="113" t="n">
        <x:f>K177*'Scenarios'!$E$45*'Scenarios'!$E$47</x:f>
        <x:v>1.8002033652966805</x:v>
      </x:c>
      <x:c r="L195" s="113" t="n">
        <x:f>L177*'Scenarios'!$E$45*'Scenarios'!$E$47</x:f>
        <x:v>2.15097737331038</x:v>
      </x:c>
      <x:c r="M195" s="113" t="n">
        <x:f>M177*'Scenarios'!$E$45*'Scenarios'!$E$47</x:f>
        <x:v>2.4982436412439433</x:v>
      </x:c>
      <x:c r="N195" s="113" t="n">
        <x:f>N177*'Scenarios'!$E$45*'Scenarios'!$E$47</x:f>
        <x:v>2.842037246498171</x:v>
      </x:c>
      <x:c r="O195" s="113" t="n">
        <x:f>O177*'Scenarios'!$E$45*'Scenarios'!$E$47</x:f>
        <x:v>3.1823929156998556</x:v>
      </x:c>
      <x:c r="P195" s="113" t="n">
        <x:f>P177*'Scenarios'!$E$45*'Scenarios'!$E$47</x:f>
        <x:v>3.5193450282095236</x:v>
      </x:c>
      <x:c r="Q195" s="113" t="n">
        <x:f>Q177*'Scenarios'!$E$45*'Scenarios'!$E$47</x:f>
        <x:v>3.9266828279274284</x:v>
      </x:c>
      <x:c r="R195" s="113" t="n">
        <x:f>R177*'Scenarios'!$E$45*'Scenarios'!$E$47</x:f>
        <x:v>4.329947249648154</x:v>
      </x:c>
      <x:c r="S195" s="113" t="n">
        <x:f>S177*'Scenarios'!$E$45*'Scenarios'!$E$47</x:f>
        <x:v>4.729179027151672</x:v>
      </x:c>
      <x:c r="T195" s="113" t="n">
        <x:f>T177*'Scenarios'!$E$45*'Scenarios'!$E$47</x:f>
        <x:v>5.124418486880155</x:v>
      </x:c>
      <x:c r="U195" s="113" t="n">
        <x:f>U177*'Scenarios'!$E$45*'Scenarios'!$E$47</x:f>
        <x:v>5.5157055520113545</x:v>
      </x:c>
      <x:c r="V195" s="113" t="n">
        <x:f>V177*'Scenarios'!$E$45*'Scenarios'!$E$47</x:f>
        <x:v>5.903079746491241</x:v>
      </x:c>
      <x:c r="W195" s="113" t="n">
        <x:f>W177*'Scenarios'!$E$45*'Scenarios'!$E$47</x:f>
        <x:v>6.434090615692996</x:v>
      </x:c>
      <x:c r="X195" s="113" t="n">
        <x:f>X177*'Scenarios'!$E$45*'Scenarios'!$E$47</x:f>
        <x:v>6.95979137620273</x:v>
      </x:c>
      <x:c r="Y195" s="113" t="n">
        <x:f>Y177*'Scenarios'!$E$45*'Scenarios'!$E$47</x:f>
        <x:v>7.480235129107369</x:v>
      </x:c>
      <x:c r="Z195" s="113" t="n">
        <x:f>Z177*'Scenarios'!$E$45*'Scenarios'!$E$47</x:f>
        <x:v>7.995474444482962</x:v>
      </x:c>
      <x:c r="AA195" s="113" t="n">
        <x:f>AA177*'Scenarios'!$E$45*'Scenarios'!$E$47</x:f>
        <x:v>8.505561366704798</x:v>
      </x:c>
      <x:c r="AB195" s="113" t="n">
        <x:f>AB177*'Scenarios'!$E$45*'Scenarios'!$E$47</x:f>
        <x:v>9.010547419704418</x:v>
      </x:c>
      <x:c r="AC195" s="113" t="n">
        <x:f>AC177*'Scenarios'!$E$45*'Scenarios'!$E$47</x:f>
        <x:v>9.65799402884071</x:v>
      </x:c>
      <x:c r="AD195" s="113" t="n">
        <x:f>AD177*'Scenarios'!$E$45*'Scenarios'!$E$47</x:f>
        <x:v>10.298966171885635</x:v>
      </x:c>
      <x:c r="AE195" s="113" t="n">
        <x:f>AE177*'Scenarios'!$E$45*'Scenarios'!$E$47</x:f>
        <x:v>10.933528593500114</x:v>
      </x:c>
      <x:c r="AF195" s="113" t="n">
        <x:f>AF177*'Scenarios'!$E$45*'Scenarios'!$E$47</x:f>
        <x:v>11.561745390898446</x:v>
      </x:c>
      <x:c r="AG195" s="113" t="n">
        <x:f>AG177*'Scenarios'!$E$45*'Scenarios'!$E$47</x:f>
        <x:v>12.183680020322793</x:v>
      </x:c>
      <x:c r="AH195" s="113" t="n">
        <x:f>AH177*'Scenarios'!$E$45*'Scenarios'!$E$47</x:f>
        <x:v>12.799395303452899</x:v>
      </x:c>
      <x:c r="AI195" s="113" t="n">
        <x:f>AI177*'Scenarios'!$E$45*'Scenarios'!$E$47</x:f>
        <x:v>13.408953433751705</x:v>
      </x:c>
      <x:c r="AJ195" s="113" t="n">
        <x:f>AJ177*'Scenarios'!$E$45*'Scenarios'!$E$47</x:f>
        <x:v>14.01241598274752</x:v>
      </x:c>
      <x:c r="AK195" s="113" t="n">
        <x:f>AK177*'Scenarios'!$E$45*'Scenarios'!$E$47</x:f>
        <x:v>14.609843906253376</x:v>
      </x:c>
      <x:c r="AL195" s="113" t="n">
        <x:f>AL177*'Scenarios'!$E$45*'Scenarios'!$E$47</x:f>
        <x:v>15.201297550524176</x:v>
      </x:c>
    </x:row>
    <x:row r="196">
      <x:c r="A196" s="84" t="str">
        <x:v>Enablement hours</x:v>
      </x:c>
      <x:c r="B196" s="84" t="str">
        <x:v>hours</x:v>
      </x:c>
      <x:c r="C196" s="113" t="n">
        <x:f>C178*'Scenarios'!$E$46*'Scenarios'!$E$47</x:f>
        <x:v>3.4</x:v>
      </x:c>
      <x:c r="D196" s="113" t="n">
        <x:f>D178*'Scenarios'!$E$46*'Scenarios'!$E$47</x:f>
        <x:v>3.4</x:v>
      </x:c>
      <x:c r="E196" s="113" t="n">
        <x:f>E178*'Scenarios'!$E$46*'Scenarios'!$E$47</x:f>
        <x:v>3.4</x:v>
      </x:c>
      <x:c r="F196" s="113" t="n">
        <x:f>F178*'Scenarios'!$E$46*'Scenarios'!$E$47</x:f>
        <x:v>3.4</x:v>
      </x:c>
      <x:c r="G196" s="113" t="n">
        <x:f>G178*'Scenarios'!$E$46*'Scenarios'!$E$47</x:f>
        <x:v>3.4</x:v>
      </x:c>
      <x:c r="H196" s="113" t="n">
        <x:f>H178*'Scenarios'!$E$46*'Scenarios'!$E$47</x:f>
        <x:v>3.4</x:v>
      </x:c>
      <x:c r="I196" s="113" t="n">
        <x:f>I178*'Scenarios'!$E$46*'Scenarios'!$E$47</x:f>
        <x:v>3.4</x:v>
      </x:c>
      <x:c r="J196" s="113" t="n">
        <x:f>J178*'Scenarios'!$E$46*'Scenarios'!$E$47</x:f>
        <x:v>3.4</x:v>
      </x:c>
      <x:c r="K196" s="113" t="n">
        <x:f>K178*'Scenarios'!$E$46*'Scenarios'!$E$47</x:f>
        <x:v>3.4</x:v>
      </x:c>
      <x:c r="L196" s="113" t="n">
        <x:f>L178*'Scenarios'!$E$46*'Scenarios'!$E$47</x:f>
        <x:v>3.4</x:v>
      </x:c>
      <x:c r="M196" s="113" t="n">
        <x:f>M178*'Scenarios'!$E$46*'Scenarios'!$E$47</x:f>
        <x:v>3.4</x:v>
      </x:c>
      <x:c r="N196" s="113" t="n">
        <x:f>N178*'Scenarios'!$E$46*'Scenarios'!$E$47</x:f>
        <x:v>3.4</x:v>
      </x:c>
      <x:c r="O196" s="113" t="n">
        <x:f>O178*'Scenarios'!$E$46*'Scenarios'!$E$47</x:f>
        <x:v>3.4</x:v>
      </x:c>
      <x:c r="P196" s="113" t="n">
        <x:f>P178*'Scenarios'!$E$46*'Scenarios'!$E$47</x:f>
        <x:v>3.4</x:v>
      </x:c>
      <x:c r="Q196" s="113" t="n">
        <x:f>Q178*'Scenarios'!$E$46*'Scenarios'!$E$47</x:f>
        <x:v>3.4</x:v>
      </x:c>
      <x:c r="R196" s="113" t="n">
        <x:f>R178*'Scenarios'!$E$46*'Scenarios'!$E$47</x:f>
        <x:v>3.4</x:v>
      </x:c>
      <x:c r="S196" s="113" t="n">
        <x:f>S178*'Scenarios'!$E$46*'Scenarios'!$E$47</x:f>
        <x:v>3.4</x:v>
      </x:c>
      <x:c r="T196" s="113" t="n">
        <x:f>T178*'Scenarios'!$E$46*'Scenarios'!$E$47</x:f>
        <x:v>3.4</x:v>
      </x:c>
      <x:c r="U196" s="113" t="n">
        <x:f>U178*'Scenarios'!$E$46*'Scenarios'!$E$47</x:f>
        <x:v>3.4</x:v>
      </x:c>
      <x:c r="V196" s="113" t="n">
        <x:f>V178*'Scenarios'!$E$46*'Scenarios'!$E$47</x:f>
        <x:v>3.4</x:v>
      </x:c>
      <x:c r="W196" s="113" t="n">
        <x:f>W178*'Scenarios'!$E$46*'Scenarios'!$E$47</x:f>
        <x:v>3.4</x:v>
      </x:c>
      <x:c r="X196" s="113" t="n">
        <x:f>X178*'Scenarios'!$E$46*'Scenarios'!$E$47</x:f>
        <x:v>3.4</x:v>
      </x:c>
      <x:c r="Y196" s="113" t="n">
        <x:f>Y178*'Scenarios'!$E$46*'Scenarios'!$E$47</x:f>
        <x:v>3.4</x:v>
      </x:c>
      <x:c r="Z196" s="113" t="n">
        <x:f>Z178*'Scenarios'!$E$46*'Scenarios'!$E$47</x:f>
        <x:v>3.4</x:v>
      </x:c>
      <x:c r="AA196" s="113" t="n">
        <x:f>AA178*'Scenarios'!$E$46*'Scenarios'!$E$47</x:f>
        <x:v>5.1</x:v>
      </x:c>
      <x:c r="AB196" s="113" t="n">
        <x:f>AB178*'Scenarios'!$E$46*'Scenarios'!$E$47</x:f>
        <x:v>5.1</x:v>
      </x:c>
      <x:c r="AC196" s="113" t="n">
        <x:f>AC178*'Scenarios'!$E$46*'Scenarios'!$E$47</x:f>
        <x:v>5.1</x:v>
      </x:c>
      <x:c r="AD196" s="113" t="n">
        <x:f>AD178*'Scenarios'!$E$46*'Scenarios'!$E$47</x:f>
        <x:v>5.1</x:v>
      </x:c>
      <x:c r="AE196" s="113" t="n">
        <x:f>AE178*'Scenarios'!$E$46*'Scenarios'!$E$47</x:f>
        <x:v>5.1</x:v>
      </x:c>
      <x:c r="AF196" s="113" t="n">
        <x:f>AF178*'Scenarios'!$E$46*'Scenarios'!$E$47</x:f>
        <x:v>5.1</x:v>
      </x:c>
      <x:c r="AG196" s="113" t="n">
        <x:f>AG178*'Scenarios'!$E$46*'Scenarios'!$E$47</x:f>
        <x:v>5.1</x:v>
      </x:c>
      <x:c r="AH196" s="113" t="n">
        <x:f>AH178*'Scenarios'!$E$46*'Scenarios'!$E$47</x:f>
        <x:v>5.1</x:v>
      </x:c>
      <x:c r="AI196" s="113" t="n">
        <x:f>AI178*'Scenarios'!$E$46*'Scenarios'!$E$47</x:f>
        <x:v>5.1</x:v>
      </x:c>
      <x:c r="AJ196" s="113" t="n">
        <x:f>AJ178*'Scenarios'!$E$46*'Scenarios'!$E$47</x:f>
        <x:v>5.1</x:v>
      </x:c>
      <x:c r="AK196" s="113" t="n">
        <x:f>AK178*'Scenarios'!$E$46*'Scenarios'!$E$47</x:f>
        <x:v>5.1</x:v>
      </x:c>
      <x:c r="AL196" s="113" t="n">
        <x:f>AL178*'Scenarios'!$E$46*'Scenarios'!$E$47</x:f>
        <x:v>5.1</x:v>
      </x:c>
    </x:row>
    <x:row r="197">
      <x:c r="A197" s="84" t="str">
        <x:v>Total delivery hours</x:v>
      </x:c>
      <x:c r="B197" s="84" t="str">
        <x:v>hours</x:v>
      </x:c>
      <x:c r="C197" s="113" t="n">
        <x:f>SUM(C190:C196)</x:f>
        <x:v>7.3865</x:v>
      </x:c>
      <x:c r="D197" s="113" t="n">
        <x:f>SUM(D190:D196)</x:f>
        <x:v>20.9406</x:v>
      </x:c>
      <x:c r="E197" s="113" t="n">
        <x:f>SUM(E190:E196)</x:f>
        <x:v>24.96729720833333</x:v>
      </x:c>
      <x:c r="F197" s="113" t="n">
        <x:f>SUM(F190:F196)</x:f>
        <x:v>30.917227444583332</x:v>
      </x:c>
      <x:c r="G197" s="113" t="n">
        <x:f>SUM(G190:G196)</x:f>
        <x:v>41.53969337847082</x:v>
      </x:c>
      <x:c r="H197" s="113" t="n">
        <x:f>SUM(H190:H196)</x:f>
        <x:v>47.43009227801945</x:v>
      </x:c>
      <x:c r="I197" s="113" t="n">
        <x:f>SUM(I190:I196)</x:f>
        <x:v>54.74908718857258</x:v>
      </x:c>
      <x:c r="J197" s="113" t="n">
        <x:f>SUM(J190:J196)</x:f>
        <x:v>65.57976715002019</x:v>
      </x:c>
      <x:c r="K197" s="113" t="n">
        <x:f>SUM(K190:K196)</x:f>
        <x:v>72.79771427018666</x:v>
      </x:c>
      <x:c r="L197" s="113" t="n">
        <x:f>SUM(L190:L196)</x:f>
        <x:v>79.94348191915147</x:v>
      </x:c>
      <x:c r="M197" s="113" t="n">
        <x:f>SUM(M190:M196)</x:f>
        <x:v>87.01779189162662</x:v>
      </x:c>
      <x:c r="N197" s="113" t="n">
        <x:f>SUM(N190:N196)</x:f>
        <x:v>94.02135876437701</x:v>
      </x:c>
      <x:c r="O197" s="113" t="n">
        <x:f>SUM(O190:O196)</x:f>
        <x:v>102.44238996839992</x:v>
      </x:c>
      <x:c r="P197" s="113" t="n">
        <x:f>SUM(P190:P196)</x:f>
        <x:v>114.36408586038259</x:v>
      </x:c>
      <x:c r="Q197" s="113" t="n">
        <x:f>SUM(Q190:Q196)</x:f>
        <x:v>122.66213875177876</x:v>
      </x:c>
      <x:c r="R197" s="113" t="n">
        <x:f>SUM(R190:R196)</x:f>
        <x:v>130.87721111426097</x:v>
      </x:c>
      <x:c r="S197" s="113" t="n">
        <x:f>SUM(S190:S196)</x:f>
        <x:v>139.01013275311837</x:v>
      </x:c>
      <x:c r="T197" s="113" t="n">
        <x:f>SUM(T190:T196)</x:f>
        <x:v>147.06172517558718</x:v>
      </x:c>
      <x:c r="U197" s="113" t="n">
        <x:f>SUM(U190:U196)</x:f>
        <x:v>158.00780167383132</x:v>
      </x:c>
      <x:c r="V197" s="113" t="n">
        <x:f>SUM(V190:V196)</x:f>
        <x:v>176.014167407093</x:v>
      </x:c>
      <x:c r="W197" s="113" t="n">
        <x:f>SUM(W190:W196)</x:f>
        <x:v>186.83161739968875</x:v>
      </x:c>
      <x:c r="X197" s="113" t="n">
        <x:f>SUM(X190:X196)</x:f>
        <x:v>197.5408928923585</x:v>
      </x:c>
      <x:c r="Y197" s="113" t="n">
        <x:f>SUM(Y190:Y196)</x:f>
        <x:v>208.14307563010158</x:v>
      </x:c>
      <x:c r="Z197" s="113" t="n">
        <x:f>SUM(Z190:Z196)</x:f>
        <x:v>218.6392365404672</x:v>
      </x:c>
      <x:c r="AA197" s="113" t="n">
        <x:f>SUM(AA190:AA196)</x:f>
        <x:v>233.7054358417292</x:v>
      </x:c>
      <x:c r="AB197" s="113" t="n">
        <x:f>SUM(AB190:AB196)</x:f>
        <x:v>254.10772314997857</x:v>
      </x:c>
      <x:c r="AC197" s="113" t="n">
        <x:f>SUM(AC190:AC196)</x:f>
        <x:v>267.2971355018122</x:v>
      </x:c>
      <x:c r="AD197" s="113" t="n">
        <x:f>SUM(AD190:AD196)</x:f>
        <x:v>280.3546537301274</x:v>
      </x:c>
      <x:c r="AE197" s="113" t="n">
        <x:f>SUM(AE190:AE196)</x:f>
        <x:v>293.2815967761595</x:v>
      </x:c>
      <x:c r="AF197" s="113" t="n">
        <x:f>SUM(AF190:AF196)</x:f>
        <x:v>306.0792703917312</x:v>
      </x:c>
      <x:c r="AG197" s="113" t="n">
        <x:f>SUM(AG190:AG196)</x:f>
        <x:v>318.74896727114725</x:v>
      </x:c>
      <x:c r="AH197" s="113" t="n">
        <x:f>SUM(AH190:AH196)</x:f>
        <x:v>331.2919671817691</x:v>
      </x:c>
      <x:c r="AI197" s="113" t="n">
        <x:f>SUM(AI190:AI196)</x:f>
        <x:v>343.7095370932847</x:v>
      </x:c>
      <x:c r="AJ197" s="113" t="n">
        <x:f>SUM(AJ190:AJ196)</x:f>
        <x:v>356.00293130568525</x:v>
      </x:c>
      <x:c r="AK197" s="113" t="n">
        <x:f>SUM(AK190:AK196)</x:f>
        <x:v>368.1733915759617</x:v>
      </x:c>
      <x:c r="AL197" s="113" t="n">
        <x:f>SUM(AL190:AL196)</x:f>
        <x:v>380.2221472435354</x:v>
      </x:c>
    </x:row>
    <x:row r="198">
      <x:c r="A198" s="84" t="str">
        <x:v>Founder delivery capacity</x:v>
      </x:c>
      <x:c r="B198" s="84" t="str">
        <x:v>hours</x:v>
      </x:c>
      <x:c r="C198" s="113" t="n">
        <x:f>'Scenarios'!$E$31*52/12*'Scenarios'!$E$32</x:f>
        <x:v>52</x:v>
      </x:c>
      <x:c r="D198" s="113" t="n">
        <x:f>'Scenarios'!$E$31*52/12*'Scenarios'!$E$32</x:f>
        <x:v>52</x:v>
      </x:c>
      <x:c r="E198" s="113" t="n">
        <x:f>'Scenarios'!$E$31*52/12*'Scenarios'!$E$32</x:f>
        <x:v>52</x:v>
      </x:c>
      <x:c r="F198" s="113" t="n">
        <x:f>'Scenarios'!$E$31*52/12*'Scenarios'!$E$32</x:f>
        <x:v>52</x:v>
      </x:c>
      <x:c r="G198" s="113" t="n">
        <x:f>'Scenarios'!$E$31*52/12*'Scenarios'!$E$32</x:f>
        <x:v>52</x:v>
      </x:c>
      <x:c r="H198" s="113" t="n">
        <x:f>'Scenarios'!$E$31*52/12*'Scenarios'!$E$32</x:f>
        <x:v>52</x:v>
      </x:c>
      <x:c r="I198" s="113" t="n">
        <x:f>'Scenarios'!$E$31*52/12*'Scenarios'!$E$32</x:f>
        <x:v>52</x:v>
      </x:c>
      <x:c r="J198" s="113" t="n">
        <x:f>'Scenarios'!$E$31*52/12*'Scenarios'!$E$32</x:f>
        <x:v>52</x:v>
      </x:c>
      <x:c r="K198" s="113" t="n">
        <x:f>'Scenarios'!$E$31*52/12*'Scenarios'!$E$32</x:f>
        <x:v>52</x:v>
      </x:c>
      <x:c r="L198" s="113" t="n">
        <x:f>'Scenarios'!$E$31*52/12*'Scenarios'!$E$32</x:f>
        <x:v>52</x:v>
      </x:c>
      <x:c r="M198" s="113" t="n">
        <x:f>'Scenarios'!$E$31*52/12*'Scenarios'!$E$32</x:f>
        <x:v>52</x:v>
      </x:c>
      <x:c r="N198" s="113" t="n">
        <x:f>'Scenarios'!$E$31*52/12*'Scenarios'!$E$32</x:f>
        <x:v>52</x:v>
      </x:c>
      <x:c r="O198" s="113" t="n">
        <x:f>'Scenarios'!$E$31*52/12*'Scenarios'!$E$32</x:f>
        <x:v>52</x:v>
      </x:c>
      <x:c r="P198" s="113" t="n">
        <x:f>'Scenarios'!$E$31*52/12*'Scenarios'!$E$32</x:f>
        <x:v>52</x:v>
      </x:c>
      <x:c r="Q198" s="113" t="n">
        <x:f>'Scenarios'!$E$31*52/12*'Scenarios'!$E$32</x:f>
        <x:v>52</x:v>
      </x:c>
      <x:c r="R198" s="113" t="n">
        <x:f>'Scenarios'!$E$31*52/12*'Scenarios'!$E$32</x:f>
        <x:v>52</x:v>
      </x:c>
      <x:c r="S198" s="113" t="n">
        <x:f>'Scenarios'!$E$31*52/12*'Scenarios'!$E$32</x:f>
        <x:v>52</x:v>
      </x:c>
      <x:c r="T198" s="113" t="n">
        <x:f>'Scenarios'!$E$31*52/12*'Scenarios'!$E$32</x:f>
        <x:v>52</x:v>
      </x:c>
      <x:c r="U198" s="113" t="n">
        <x:f>'Scenarios'!$E$31*52/12*'Scenarios'!$E$32</x:f>
        <x:v>52</x:v>
      </x:c>
      <x:c r="V198" s="113" t="n">
        <x:f>'Scenarios'!$E$31*52/12*'Scenarios'!$E$32</x:f>
        <x:v>52</x:v>
      </x:c>
      <x:c r="W198" s="113" t="n">
        <x:f>'Scenarios'!$E$31*52/12*'Scenarios'!$E$32</x:f>
        <x:v>52</x:v>
      </x:c>
      <x:c r="X198" s="113" t="n">
        <x:f>'Scenarios'!$E$31*52/12*'Scenarios'!$E$32</x:f>
        <x:v>52</x:v>
      </x:c>
      <x:c r="Y198" s="113" t="n">
        <x:f>'Scenarios'!$E$31*52/12*'Scenarios'!$E$32</x:f>
        <x:v>52</x:v>
      </x:c>
      <x:c r="Z198" s="113" t="n">
        <x:f>'Scenarios'!$E$31*52/12*'Scenarios'!$E$32</x:f>
        <x:v>52</x:v>
      </x:c>
      <x:c r="AA198" s="113" t="n">
        <x:f>'Scenarios'!$E$31*52/12*'Scenarios'!$E$32</x:f>
        <x:v>52</x:v>
      </x:c>
      <x:c r="AB198" s="113" t="n">
        <x:f>'Scenarios'!$E$31*52/12*'Scenarios'!$E$32</x:f>
        <x:v>52</x:v>
      </x:c>
      <x:c r="AC198" s="113" t="n">
        <x:f>'Scenarios'!$E$31*52/12*'Scenarios'!$E$32</x:f>
        <x:v>52</x:v>
      </x:c>
      <x:c r="AD198" s="113" t="n">
        <x:f>'Scenarios'!$E$31*52/12*'Scenarios'!$E$32</x:f>
        <x:v>52</x:v>
      </x:c>
      <x:c r="AE198" s="113" t="n">
        <x:f>'Scenarios'!$E$31*52/12*'Scenarios'!$E$32</x:f>
        <x:v>52</x:v>
      </x:c>
      <x:c r="AF198" s="113" t="n">
        <x:f>'Scenarios'!$E$31*52/12*'Scenarios'!$E$32</x:f>
        <x:v>52</x:v>
      </x:c>
      <x:c r="AG198" s="113" t="n">
        <x:f>'Scenarios'!$E$31*52/12*'Scenarios'!$E$32</x:f>
        <x:v>52</x:v>
      </x:c>
      <x:c r="AH198" s="113" t="n">
        <x:f>'Scenarios'!$E$31*52/12*'Scenarios'!$E$32</x:f>
        <x:v>52</x:v>
      </x:c>
      <x:c r="AI198" s="113" t="n">
        <x:f>'Scenarios'!$E$31*52/12*'Scenarios'!$E$32</x:f>
        <x:v>52</x:v>
      </x:c>
      <x:c r="AJ198" s="113" t="n">
        <x:f>'Scenarios'!$E$31*52/12*'Scenarios'!$E$32</x:f>
        <x:v>52</x:v>
      </x:c>
      <x:c r="AK198" s="113" t="n">
        <x:f>'Scenarios'!$E$31*52/12*'Scenarios'!$E$32</x:f>
        <x:v>52</x:v>
      </x:c>
      <x:c r="AL198" s="113" t="n">
        <x:f>'Scenarios'!$E$31*52/12*'Scenarios'!$E$32</x:f>
        <x:v>52</x:v>
      </x:c>
    </x:row>
    <x:row r="199">
      <x:c r="A199" s="84" t="str">
        <x:v>Founder delivery hours used</x:v>
      </x:c>
      <x:c r="B199" s="84" t="str">
        <x:v>hours</x:v>
      </x:c>
      <x:c r="C199" s="113" t="n">
        <x:f>MIN(C197,C198)</x:f>
        <x:v>7.3865</x:v>
      </x:c>
      <x:c r="D199" s="113" t="n">
        <x:f>MIN(D197,D198)</x:f>
        <x:v>20.9406</x:v>
      </x:c>
      <x:c r="E199" s="113" t="n">
        <x:f>MIN(E197,E198)</x:f>
        <x:v>24.96729720833333</x:v>
      </x:c>
      <x:c r="F199" s="113" t="n">
        <x:f>MIN(F197,F198)</x:f>
        <x:v>30.917227444583332</x:v>
      </x:c>
      <x:c r="G199" s="113" t="n">
        <x:f>MIN(G197,G198)</x:f>
        <x:v>41.53969337847082</x:v>
      </x:c>
      <x:c r="H199" s="113" t="n">
        <x:f>MIN(H197,H198)</x:f>
        <x:v>47.43009227801945</x:v>
      </x:c>
      <x:c r="I199" s="113" t="n">
        <x:f>MIN(I197,I198)</x:f>
        <x:v>52</x:v>
      </x:c>
      <x:c r="J199" s="113" t="n">
        <x:f>MIN(J197,J198)</x:f>
        <x:v>52</x:v>
      </x:c>
      <x:c r="K199" s="113" t="n">
        <x:f>MIN(K197,K198)</x:f>
        <x:v>52</x:v>
      </x:c>
      <x:c r="L199" s="113" t="n">
        <x:f>MIN(L197,L198)</x:f>
        <x:v>52</x:v>
      </x:c>
      <x:c r="M199" s="113" t="n">
        <x:f>MIN(M197,M198)</x:f>
        <x:v>52</x:v>
      </x:c>
      <x:c r="N199" s="113" t="n">
        <x:f>MIN(N197,N198)</x:f>
        <x:v>52</x:v>
      </x:c>
      <x:c r="O199" s="113" t="n">
        <x:f>MIN(O197,O198)</x:f>
        <x:v>52</x:v>
      </x:c>
      <x:c r="P199" s="113" t="n">
        <x:f>MIN(P197,P198)</x:f>
        <x:v>52</x:v>
      </x:c>
      <x:c r="Q199" s="113" t="n">
        <x:f>MIN(Q197,Q198)</x:f>
        <x:v>52</x:v>
      </x:c>
      <x:c r="R199" s="113" t="n">
        <x:f>MIN(R197,R198)</x:f>
        <x:v>52</x:v>
      </x:c>
      <x:c r="S199" s="113" t="n">
        <x:f>MIN(S197,S198)</x:f>
        <x:v>52</x:v>
      </x:c>
      <x:c r="T199" s="113" t="n">
        <x:f>MIN(T197,T198)</x:f>
        <x:v>52</x:v>
      </x:c>
      <x:c r="U199" s="113" t="n">
        <x:f>MIN(U197,U198)</x:f>
        <x:v>52</x:v>
      </x:c>
      <x:c r="V199" s="113" t="n">
        <x:f>MIN(V197,V198)</x:f>
        <x:v>52</x:v>
      </x:c>
      <x:c r="W199" s="113" t="n">
        <x:f>MIN(W197,W198)</x:f>
        <x:v>52</x:v>
      </x:c>
      <x:c r="X199" s="113" t="n">
        <x:f>MIN(X197,X198)</x:f>
        <x:v>52</x:v>
      </x:c>
      <x:c r="Y199" s="113" t="n">
        <x:f>MIN(Y197,Y198)</x:f>
        <x:v>52</x:v>
      </x:c>
      <x:c r="Z199" s="113" t="n">
        <x:f>MIN(Z197,Z198)</x:f>
        <x:v>52</x:v>
      </x:c>
      <x:c r="AA199" s="113" t="n">
        <x:f>MIN(AA197,AA198)</x:f>
        <x:v>52</x:v>
      </x:c>
      <x:c r="AB199" s="113" t="n">
        <x:f>MIN(AB197,AB198)</x:f>
        <x:v>52</x:v>
      </x:c>
      <x:c r="AC199" s="113" t="n">
        <x:f>MIN(AC197,AC198)</x:f>
        <x:v>52</x:v>
      </x:c>
      <x:c r="AD199" s="113" t="n">
        <x:f>MIN(AD197,AD198)</x:f>
        <x:v>52</x:v>
      </x:c>
      <x:c r="AE199" s="113" t="n">
        <x:f>MIN(AE197,AE198)</x:f>
        <x:v>52</x:v>
      </x:c>
      <x:c r="AF199" s="113" t="n">
        <x:f>MIN(AF197,AF198)</x:f>
        <x:v>52</x:v>
      </x:c>
      <x:c r="AG199" s="113" t="n">
        <x:f>MIN(AG197,AG198)</x:f>
        <x:v>52</x:v>
      </x:c>
      <x:c r="AH199" s="113" t="n">
        <x:f>MIN(AH197,AH198)</x:f>
        <x:v>52</x:v>
      </x:c>
      <x:c r="AI199" s="113" t="n">
        <x:f>MIN(AI197,AI198)</x:f>
        <x:v>52</x:v>
      </x:c>
      <x:c r="AJ199" s="113" t="n">
        <x:f>MIN(AJ197,AJ198)</x:f>
        <x:v>52</x:v>
      </x:c>
      <x:c r="AK199" s="113" t="n">
        <x:f>MIN(AK197,AK198)</x:f>
        <x:v>52</x:v>
      </x:c>
      <x:c r="AL199" s="113" t="n">
        <x:f>MIN(AL197,AL198)</x:f>
        <x:v>52</x:v>
      </x:c>
    </x:row>
    <x:row r="200">
      <x:c r="A200" s="84" t="str">
        <x:v>Core contractor capacity</x:v>
      </x:c>
      <x:c r="B200" s="84" t="str">
        <x:v>hours</x:v>
      </x:c>
      <x:c r="C200" s="113" t="n">
        <x:f>IF(C166&gt;='Scenarios'!$E$36,'Scenarios'!$E$37,0)</x:f>
        <x:v>0</x:v>
      </x:c>
      <x:c r="D200" s="113" t="n">
        <x:f>IF(D166&gt;='Scenarios'!$E$36,'Scenarios'!$E$37,0)</x:f>
        <x:v>0</x:v>
      </x:c>
      <x:c r="E200" s="113" t="n">
        <x:f>IF(E166&gt;='Scenarios'!$E$36,'Scenarios'!$E$37,0)</x:f>
        <x:v>0</x:v>
      </x:c>
      <x:c r="F200" s="113" t="n">
        <x:f>IF(F166&gt;='Scenarios'!$E$36,'Scenarios'!$E$37,0)</x:f>
        <x:v>0</x:v>
      </x:c>
      <x:c r="G200" s="113" t="n">
        <x:f>IF(G166&gt;='Scenarios'!$E$36,'Scenarios'!$E$37,0)</x:f>
        <x:v>0</x:v>
      </x:c>
      <x:c r="H200" s="113" t="n">
        <x:f>IF(H166&gt;='Scenarios'!$E$36,'Scenarios'!$E$37,0)</x:f>
        <x:v>0</x:v>
      </x:c>
      <x:c r="I200" s="113" t="n">
        <x:f>IF(I166&gt;='Scenarios'!$E$36,'Scenarios'!$E$37,0)</x:f>
        <x:v>0</x:v>
      </x:c>
      <x:c r="J200" s="113" t="n">
        <x:f>IF(J166&gt;='Scenarios'!$E$36,'Scenarios'!$E$37,0)</x:f>
        <x:v>0</x:v>
      </x:c>
      <x:c r="K200" s="113" t="n">
        <x:f>IF(K166&gt;='Scenarios'!$E$36,'Scenarios'!$E$37,0)</x:f>
        <x:v>0</x:v>
      </x:c>
      <x:c r="L200" s="113" t="n">
        <x:f>IF(L166&gt;='Scenarios'!$E$36,'Scenarios'!$E$37,0)</x:f>
        <x:v>120</x:v>
      </x:c>
      <x:c r="M200" s="113" t="n">
        <x:f>IF(M166&gt;='Scenarios'!$E$36,'Scenarios'!$E$37,0)</x:f>
        <x:v>120</x:v>
      </x:c>
      <x:c r="N200" s="113" t="n">
        <x:f>IF(N166&gt;='Scenarios'!$E$36,'Scenarios'!$E$37,0)</x:f>
        <x:v>120</x:v>
      </x:c>
      <x:c r="O200" s="113" t="n">
        <x:f>IF(O166&gt;='Scenarios'!$E$36,'Scenarios'!$E$37,0)</x:f>
        <x:v>120</x:v>
      </x:c>
      <x:c r="P200" s="113" t="n">
        <x:f>IF(P166&gt;='Scenarios'!$E$36,'Scenarios'!$E$37,0)</x:f>
        <x:v>120</x:v>
      </x:c>
      <x:c r="Q200" s="113" t="n">
        <x:f>IF(Q166&gt;='Scenarios'!$E$36,'Scenarios'!$E$37,0)</x:f>
        <x:v>120</x:v>
      </x:c>
      <x:c r="R200" s="113" t="n">
        <x:f>IF(R166&gt;='Scenarios'!$E$36,'Scenarios'!$E$37,0)</x:f>
        <x:v>120</x:v>
      </x:c>
      <x:c r="S200" s="113" t="n">
        <x:f>IF(S166&gt;='Scenarios'!$E$36,'Scenarios'!$E$37,0)</x:f>
        <x:v>120</x:v>
      </x:c>
      <x:c r="T200" s="113" t="n">
        <x:f>IF(T166&gt;='Scenarios'!$E$36,'Scenarios'!$E$37,0)</x:f>
        <x:v>120</x:v>
      </x:c>
      <x:c r="U200" s="113" t="n">
        <x:f>IF(U166&gt;='Scenarios'!$E$36,'Scenarios'!$E$37,0)</x:f>
        <x:v>120</x:v>
      </x:c>
      <x:c r="V200" s="113" t="n">
        <x:f>IF(V166&gt;='Scenarios'!$E$36,'Scenarios'!$E$37,0)</x:f>
        <x:v>120</x:v>
      </x:c>
      <x:c r="W200" s="113" t="n">
        <x:f>IF(W166&gt;='Scenarios'!$E$36,'Scenarios'!$E$37,0)</x:f>
        <x:v>120</x:v>
      </x:c>
      <x:c r="X200" s="113" t="n">
        <x:f>IF(X166&gt;='Scenarios'!$E$36,'Scenarios'!$E$37,0)</x:f>
        <x:v>120</x:v>
      </x:c>
      <x:c r="Y200" s="113" t="n">
        <x:f>IF(Y166&gt;='Scenarios'!$E$36,'Scenarios'!$E$37,0)</x:f>
        <x:v>120</x:v>
      </x:c>
      <x:c r="Z200" s="113" t="n">
        <x:f>IF(Z166&gt;='Scenarios'!$E$36,'Scenarios'!$E$37,0)</x:f>
        <x:v>120</x:v>
      </x:c>
      <x:c r="AA200" s="113" t="n">
        <x:f>IF(AA166&gt;='Scenarios'!$E$36,'Scenarios'!$E$37,0)</x:f>
        <x:v>120</x:v>
      </x:c>
      <x:c r="AB200" s="113" t="n">
        <x:f>IF(AB166&gt;='Scenarios'!$E$36,'Scenarios'!$E$37,0)</x:f>
        <x:v>120</x:v>
      </x:c>
      <x:c r="AC200" s="113" t="n">
        <x:f>IF(AC166&gt;='Scenarios'!$E$36,'Scenarios'!$E$37,0)</x:f>
        <x:v>120</x:v>
      </x:c>
      <x:c r="AD200" s="113" t="n">
        <x:f>IF(AD166&gt;='Scenarios'!$E$36,'Scenarios'!$E$37,0)</x:f>
        <x:v>120</x:v>
      </x:c>
      <x:c r="AE200" s="113" t="n">
        <x:f>IF(AE166&gt;='Scenarios'!$E$36,'Scenarios'!$E$37,0)</x:f>
        <x:v>120</x:v>
      </x:c>
      <x:c r="AF200" s="113" t="n">
        <x:f>IF(AF166&gt;='Scenarios'!$E$36,'Scenarios'!$E$37,0)</x:f>
        <x:v>120</x:v>
      </x:c>
      <x:c r="AG200" s="113" t="n">
        <x:f>IF(AG166&gt;='Scenarios'!$E$36,'Scenarios'!$E$37,0)</x:f>
        <x:v>120</x:v>
      </x:c>
      <x:c r="AH200" s="113" t="n">
        <x:f>IF(AH166&gt;='Scenarios'!$E$36,'Scenarios'!$E$37,0)</x:f>
        <x:v>120</x:v>
      </x:c>
      <x:c r="AI200" s="113" t="n">
        <x:f>IF(AI166&gt;='Scenarios'!$E$36,'Scenarios'!$E$37,0)</x:f>
        <x:v>120</x:v>
      </x:c>
      <x:c r="AJ200" s="113" t="n">
        <x:f>IF(AJ166&gt;='Scenarios'!$E$36,'Scenarios'!$E$37,0)</x:f>
        <x:v>120</x:v>
      </x:c>
      <x:c r="AK200" s="113" t="n">
        <x:f>IF(AK166&gt;='Scenarios'!$E$36,'Scenarios'!$E$37,0)</x:f>
        <x:v>120</x:v>
      </x:c>
      <x:c r="AL200" s="113" t="n">
        <x:f>IF(AL166&gt;='Scenarios'!$E$36,'Scenarios'!$E$37,0)</x:f>
        <x:v>120</x:v>
      </x:c>
    </x:row>
    <x:row r="201">
      <x:c r="A201" s="84" t="str">
        <x:v>Core contractor hours used</x:v>
      </x:c>
      <x:c r="B201" s="84" t="str">
        <x:v>hours</x:v>
      </x:c>
      <x:c r="C201" s="113" t="n">
        <x:f>MIN(MAX(C197-C199,0),C200)</x:f>
        <x:v>0</x:v>
      </x:c>
      <x:c r="D201" s="113" t="n">
        <x:f>MIN(MAX(D197-D199,0),D200)</x:f>
        <x:v>0</x:v>
      </x:c>
      <x:c r="E201" s="113" t="n">
        <x:f>MIN(MAX(E197-E199,0),E200)</x:f>
        <x:v>0</x:v>
      </x:c>
      <x:c r="F201" s="113" t="n">
        <x:f>MIN(MAX(F197-F199,0),F200)</x:f>
        <x:v>0</x:v>
      </x:c>
      <x:c r="G201" s="113" t="n">
        <x:f>MIN(MAX(G197-G199,0),G200)</x:f>
        <x:v>0</x:v>
      </x:c>
      <x:c r="H201" s="113" t="n">
        <x:f>MIN(MAX(H197-H199,0),H200)</x:f>
        <x:v>0</x:v>
      </x:c>
      <x:c r="I201" s="113" t="n">
        <x:f>MIN(MAX(I197-I199,0),I200)</x:f>
        <x:v>0</x:v>
      </x:c>
      <x:c r="J201" s="113" t="n">
        <x:f>MIN(MAX(J197-J199,0),J200)</x:f>
        <x:v>0</x:v>
      </x:c>
      <x:c r="K201" s="113" t="n">
        <x:f>MIN(MAX(K197-K199,0),K200)</x:f>
        <x:v>0</x:v>
      </x:c>
      <x:c r="L201" s="113" t="n">
        <x:f>MIN(MAX(L197-L199,0),L200)</x:f>
        <x:v>27.943481919151466</x:v>
      </x:c>
      <x:c r="M201" s="113" t="n">
        <x:f>MIN(MAX(M197-M199,0),M200)</x:f>
        <x:v>35.017791891626615</x:v>
      </x:c>
      <x:c r="N201" s="113" t="n">
        <x:f>MIN(MAX(N197-N199,0),N200)</x:f>
        <x:v>42.02135876437701</x:v>
      </x:c>
      <x:c r="O201" s="113" t="n">
        <x:f>MIN(MAX(O197-O199,0),O200)</x:f>
        <x:v>50.44238996839992</x:v>
      </x:c>
      <x:c r="P201" s="113" t="n">
        <x:f>MIN(MAX(P197-P199,0),P200)</x:f>
        <x:v>62.36408586038259</x:v>
      </x:c>
      <x:c r="Q201" s="113" t="n">
        <x:f>MIN(MAX(Q197-Q199,0),Q200)</x:f>
        <x:v>70.66213875177876</x:v>
      </x:c>
      <x:c r="R201" s="113" t="n">
        <x:f>MIN(MAX(R197-R199,0),R200)</x:f>
        <x:v>78.87721111426097</x:v>
      </x:c>
      <x:c r="S201" s="113" t="n">
        <x:f>MIN(MAX(S197-S199,0),S200)</x:f>
        <x:v>87.01013275311837</x:v>
      </x:c>
      <x:c r="T201" s="113" t="n">
        <x:f>MIN(MAX(T197-T199,0),T200)</x:f>
        <x:v>95.06172517558718</x:v>
      </x:c>
      <x:c r="U201" s="113" t="n">
        <x:f>MIN(MAX(U197-U199,0),U200)</x:f>
        <x:v>106.00780167383132</x:v>
      </x:c>
      <x:c r="V201" s="113" t="n">
        <x:f>MIN(MAX(V197-V199,0),V200)</x:f>
        <x:v>120</x:v>
      </x:c>
      <x:c r="W201" s="113" t="n">
        <x:f>MIN(MAX(W197-W199,0),W200)</x:f>
        <x:v>120</x:v>
      </x:c>
      <x:c r="X201" s="113" t="n">
        <x:f>MIN(MAX(X197-X199,0),X200)</x:f>
        <x:v>120</x:v>
      </x:c>
      <x:c r="Y201" s="113" t="n">
        <x:f>MIN(MAX(Y197-Y199,0),Y200)</x:f>
        <x:v>120</x:v>
      </x:c>
      <x:c r="Z201" s="113" t="n">
        <x:f>MIN(MAX(Z197-Z199,0),Z200)</x:f>
        <x:v>120</x:v>
      </x:c>
      <x:c r="AA201" s="113" t="n">
        <x:f>MIN(MAX(AA197-AA199,0),AA200)</x:f>
        <x:v>120</x:v>
      </x:c>
      <x:c r="AB201" s="113" t="n">
        <x:f>MIN(MAX(AB197-AB199,0),AB200)</x:f>
        <x:v>120</x:v>
      </x:c>
      <x:c r="AC201" s="113" t="n">
        <x:f>MIN(MAX(AC197-AC199,0),AC200)</x:f>
        <x:v>120</x:v>
      </x:c>
      <x:c r="AD201" s="113" t="n">
        <x:f>MIN(MAX(AD197-AD199,0),AD200)</x:f>
        <x:v>120</x:v>
      </x:c>
      <x:c r="AE201" s="113" t="n">
        <x:f>MIN(MAX(AE197-AE199,0),AE200)</x:f>
        <x:v>120</x:v>
      </x:c>
      <x:c r="AF201" s="113" t="n">
        <x:f>MIN(MAX(AF197-AF199,0),AF200)</x:f>
        <x:v>120</x:v>
      </x:c>
      <x:c r="AG201" s="113" t="n">
        <x:f>MIN(MAX(AG197-AG199,0),AG200)</x:f>
        <x:v>120</x:v>
      </x:c>
      <x:c r="AH201" s="113" t="n">
        <x:f>MIN(MAX(AH197-AH199,0),AH200)</x:f>
        <x:v>120</x:v>
      </x:c>
      <x:c r="AI201" s="113" t="n">
        <x:f>MIN(MAX(AI197-AI199,0),AI200)</x:f>
        <x:v>120</x:v>
      </x:c>
      <x:c r="AJ201" s="113" t="n">
        <x:f>MIN(MAX(AJ197-AJ199,0),AJ200)</x:f>
        <x:v>120</x:v>
      </x:c>
      <x:c r="AK201" s="113" t="n">
        <x:f>MIN(MAX(AK197-AK199,0),AK200)</x:f>
        <x:v>120</x:v>
      </x:c>
      <x:c r="AL201" s="113" t="n">
        <x:f>MIN(MAX(AL197-AL199,0),AL200)</x:f>
        <x:v>120</x:v>
      </x:c>
    </x:row>
    <x:row r="202">
      <x:c r="A202" s="84" t="str">
        <x:v>Flex contractor hours required</x:v>
      </x:c>
      <x:c r="B202" s="84" t="str">
        <x:v>hours</x:v>
      </x:c>
      <x:c r="C202" s="113" t="n">
        <x:f>MAX(C197-C199-C201,0)</x:f>
        <x:v>0</x:v>
      </x:c>
      <x:c r="D202" s="113" t="n">
        <x:f>MAX(D197-D199-D201,0)</x:f>
        <x:v>0</x:v>
      </x:c>
      <x:c r="E202" s="113" t="n">
        <x:f>MAX(E197-E199-E201,0)</x:f>
        <x:v>0</x:v>
      </x:c>
      <x:c r="F202" s="113" t="n">
        <x:f>MAX(F197-F199-F201,0)</x:f>
        <x:v>0</x:v>
      </x:c>
      <x:c r="G202" s="113" t="n">
        <x:f>MAX(G197-G199-G201,0)</x:f>
        <x:v>0</x:v>
      </x:c>
      <x:c r="H202" s="113" t="n">
        <x:f>MAX(H197-H199-H201,0)</x:f>
        <x:v>0</x:v>
      </x:c>
      <x:c r="I202" s="113" t="n">
        <x:f>MAX(I197-I199-I201,0)</x:f>
        <x:v>2.749087188572581</x:v>
      </x:c>
      <x:c r="J202" s="113" t="n">
        <x:f>MAX(J197-J199-J201,0)</x:f>
        <x:v>13.579767150020189</x:v>
      </x:c>
      <x:c r="K202" s="113" t="n">
        <x:f>MAX(K197-K199-K201,0)</x:f>
        <x:v>20.79771427018666</x:v>
      </x:c>
      <x:c r="L202" s="113" t="n">
        <x:f>MAX(L197-L199-L201,0)</x:f>
        <x:v>0</x:v>
      </x:c>
      <x:c r="M202" s="113" t="n">
        <x:f>MAX(M197-M199-M201,0)</x:f>
        <x:v>0</x:v>
      </x:c>
      <x:c r="N202" s="113" t="n">
        <x:f>MAX(N197-N199-N201,0)</x:f>
        <x:v>0</x:v>
      </x:c>
      <x:c r="O202" s="113" t="n">
        <x:f>MAX(O197-O199-O201,0)</x:f>
        <x:v>0</x:v>
      </x:c>
      <x:c r="P202" s="113" t="n">
        <x:f>MAX(P197-P199-P201,0)</x:f>
        <x:v>0</x:v>
      </x:c>
      <x:c r="Q202" s="113" t="n">
        <x:f>MAX(Q197-Q199-Q201,0)</x:f>
        <x:v>0</x:v>
      </x:c>
      <x:c r="R202" s="113" t="n">
        <x:f>MAX(R197-R199-R201,0)</x:f>
        <x:v>0</x:v>
      </x:c>
      <x:c r="S202" s="113" t="n">
        <x:f>MAX(S197-S199-S201,0)</x:f>
        <x:v>0</x:v>
      </x:c>
      <x:c r="T202" s="113" t="n">
        <x:f>MAX(T197-T199-T201,0)</x:f>
        <x:v>0</x:v>
      </x:c>
      <x:c r="U202" s="113" t="n">
        <x:f>MAX(U197-U199-U201,0)</x:f>
        <x:v>0</x:v>
      </x:c>
      <x:c r="V202" s="113" t="n">
        <x:f>MAX(V197-V199-V201,0)</x:f>
        <x:v>4.014167407092998</x:v>
      </x:c>
      <x:c r="W202" s="113" t="n">
        <x:f>MAX(W197-W199-W201,0)</x:f>
        <x:v>14.831617399688753</x:v>
      </x:c>
      <x:c r="X202" s="113" t="n">
        <x:f>MAX(X197-X199-X201,0)</x:f>
        <x:v>25.5408928923585</x:v>
      </x:c>
      <x:c r="Y202" s="113" t="n">
        <x:f>MAX(Y197-Y199-Y201,0)</x:f>
        <x:v>36.14307563010158</x:v>
      </x:c>
      <x:c r="Z202" s="113" t="n">
        <x:f>MAX(Z197-Z199-Z201,0)</x:f>
        <x:v>46.63923654046721</x:v>
      </x:c>
      <x:c r="AA202" s="113" t="n">
        <x:f>MAX(AA197-AA199-AA201,0)</x:f>
        <x:v>61.70543584172921</x:v>
      </x:c>
      <x:c r="AB202" s="113" t="n">
        <x:f>MAX(AB197-AB199-AB201,0)</x:f>
        <x:v>82.10772314997857</x:v>
      </x:c>
      <x:c r="AC202" s="113" t="n">
        <x:f>MAX(AC197-AC199-AC201,0)</x:f>
        <x:v>95.29713550181219</x:v>
      </x:c>
      <x:c r="AD202" s="113" t="n">
        <x:f>MAX(AD197-AD199-AD201,0)</x:f>
        <x:v>108.35465373012738</x:v>
      </x:c>
      <x:c r="AE202" s="113" t="n">
        <x:f>MAX(AE197-AE199-AE201,0)</x:f>
        <x:v>121.28159677615952</x:v>
      </x:c>
      <x:c r="AF202" s="113" t="n">
        <x:f>MAX(AF197-AF199-AF201,0)</x:f>
        <x:v>134.0792703917312</x:v>
      </x:c>
      <x:c r="AG202" s="113" t="n">
        <x:f>MAX(AG197-AG199-AG201,0)</x:f>
        <x:v>146.74896727114725</x:v>
      </x:c>
      <x:c r="AH202" s="113" t="n">
        <x:f>MAX(AH197-AH199-AH201,0)</x:f>
        <x:v>159.2919671817691</x:v>
      </x:c>
      <x:c r="AI202" s="113" t="n">
        <x:f>MAX(AI197-AI199-AI201,0)</x:f>
        <x:v>171.70953709328472</x:v>
      </x:c>
      <x:c r="AJ202" s="113" t="n">
        <x:f>MAX(AJ197-AJ199-AJ201,0)</x:f>
        <x:v>184.00293130568525</x:v>
      </x:c>
      <x:c r="AK202" s="113" t="n">
        <x:f>MAX(AK197-AK199-AK201,0)</x:f>
        <x:v>196.17339157596172</x:v>
      </x:c>
      <x:c r="AL202" s="113" t="n">
        <x:f>MAX(AL197-AL199-AL201,0)</x:f>
        <x:v>208.2221472435354</x:v>
      </x:c>
    </x:row>
    <x:row r="203">
      <x:c r="A203" s="84" t="str">
        <x:v>Founder delivery utilization</x:v>
      </x:c>
      <x:c r="B203" s="84" t="str">
        <x:v>%</x:v>
      </x:c>
      <x:c r="C203" s="116" t="n">
        <x:f>IF(C198=0,0,C199/C198)</x:f>
        <x:v>0.14204807692307692</x:v>
      </x:c>
      <x:c r="D203" s="116" t="n">
        <x:f>IF(D198=0,0,D199/D198)</x:f>
        <x:v>0.40270384615384613</x:v>
      </x:c>
      <x:c r="E203" s="116" t="n">
        <x:f>IF(E198=0,0,E199/E198)</x:f>
        <x:v>0.48014033092948716</x:v>
      </x:c>
      <x:c r="F203" s="116" t="n">
        <x:f>IF(F198=0,0,F199/F198)</x:f>
        <x:v>0.5945620662419872</x:v>
      </x:c>
      <x:c r="G203" s="116" t="n">
        <x:f>IF(G198=0,0,G199/G198)</x:f>
        <x:v>0.798840257278285</x:v>
      </x:c>
      <x:c r="H203" s="116" t="n">
        <x:f>IF(H198=0,0,H199/H198)</x:f>
        <x:v>0.9121171591926818</x:v>
      </x:c>
      <x:c r="I203" s="116" t="n">
        <x:f>IF(I198=0,0,I199/I198)</x:f>
        <x:v>1</x:v>
      </x:c>
      <x:c r="J203" s="116" t="n">
        <x:f>IF(J198=0,0,J199/J198)</x:f>
        <x:v>1</x:v>
      </x:c>
      <x:c r="K203" s="116" t="n">
        <x:f>IF(K198=0,0,K199/K198)</x:f>
        <x:v>1</x:v>
      </x:c>
      <x:c r="L203" s="116" t="n">
        <x:f>IF(L198=0,0,L199/L198)</x:f>
        <x:v>1</x:v>
      </x:c>
      <x:c r="M203" s="116" t="n">
        <x:f>IF(M198=0,0,M199/M198)</x:f>
        <x:v>1</x:v>
      </x:c>
      <x:c r="N203" s="116" t="n">
        <x:f>IF(N198=0,0,N199/N198)</x:f>
        <x:v>1</x:v>
      </x:c>
      <x:c r="O203" s="116" t="n">
        <x:f>IF(O198=0,0,O199/O198)</x:f>
        <x:v>1</x:v>
      </x:c>
      <x:c r="P203" s="116" t="n">
        <x:f>IF(P198=0,0,P199/P198)</x:f>
        <x:v>1</x:v>
      </x:c>
      <x:c r="Q203" s="116" t="n">
        <x:f>IF(Q198=0,0,Q199/Q198)</x:f>
        <x:v>1</x:v>
      </x:c>
      <x:c r="R203" s="116" t="n">
        <x:f>IF(R198=0,0,R199/R198)</x:f>
        <x:v>1</x:v>
      </x:c>
      <x:c r="S203" s="116" t="n">
        <x:f>IF(S198=0,0,S199/S198)</x:f>
        <x:v>1</x:v>
      </x:c>
      <x:c r="T203" s="116" t="n">
        <x:f>IF(T198=0,0,T199/T198)</x:f>
        <x:v>1</x:v>
      </x:c>
      <x:c r="U203" s="116" t="n">
        <x:f>IF(U198=0,0,U199/U198)</x:f>
        <x:v>1</x:v>
      </x:c>
      <x:c r="V203" s="116" t="n">
        <x:f>IF(V198=0,0,V199/V198)</x:f>
        <x:v>1</x:v>
      </x:c>
      <x:c r="W203" s="116" t="n">
        <x:f>IF(W198=0,0,W199/W198)</x:f>
        <x:v>1</x:v>
      </x:c>
      <x:c r="X203" s="116" t="n">
        <x:f>IF(X198=0,0,X199/X198)</x:f>
        <x:v>1</x:v>
      </x:c>
      <x:c r="Y203" s="116" t="n">
        <x:f>IF(Y198=0,0,Y199/Y198)</x:f>
        <x:v>1</x:v>
      </x:c>
      <x:c r="Z203" s="116" t="n">
        <x:f>IF(Z198=0,0,Z199/Z198)</x:f>
        <x:v>1</x:v>
      </x:c>
      <x:c r="AA203" s="116" t="n">
        <x:f>IF(AA198=0,0,AA199/AA198)</x:f>
        <x:v>1</x:v>
      </x:c>
      <x:c r="AB203" s="116" t="n">
        <x:f>IF(AB198=0,0,AB199/AB198)</x:f>
        <x:v>1</x:v>
      </x:c>
      <x:c r="AC203" s="116" t="n">
        <x:f>IF(AC198=0,0,AC199/AC198)</x:f>
        <x:v>1</x:v>
      </x:c>
      <x:c r="AD203" s="116" t="n">
        <x:f>IF(AD198=0,0,AD199/AD198)</x:f>
        <x:v>1</x:v>
      </x:c>
      <x:c r="AE203" s="116" t="n">
        <x:f>IF(AE198=0,0,AE199/AE198)</x:f>
        <x:v>1</x:v>
      </x:c>
      <x:c r="AF203" s="116" t="n">
        <x:f>IF(AF198=0,0,AF199/AF198)</x:f>
        <x:v>1</x:v>
      </x:c>
      <x:c r="AG203" s="116" t="n">
        <x:f>IF(AG198=0,0,AG199/AG198)</x:f>
        <x:v>1</x:v>
      </x:c>
      <x:c r="AH203" s="116" t="n">
        <x:f>IF(AH198=0,0,AH199/AH198)</x:f>
        <x:v>1</x:v>
      </x:c>
      <x:c r="AI203" s="116" t="n">
        <x:f>IF(AI198=0,0,AI199/AI198)</x:f>
        <x:v>1</x:v>
      </x:c>
      <x:c r="AJ203" s="116" t="n">
        <x:f>IF(AJ198=0,0,AJ199/AJ198)</x:f>
        <x:v>1</x:v>
      </x:c>
      <x:c r="AK203" s="116" t="n">
        <x:f>IF(AK198=0,0,AK199/AK198)</x:f>
        <x:v>1</x:v>
      </x:c>
      <x:c r="AL203" s="116" t="n">
        <x:f>IF(AL198=0,0,AL199/AL198)</x:f>
        <x:v>1</x:v>
      </x:c>
    </x:row>
    <x:row r="204">
      <x:c r="A204" s="63" t="str">
        <x:v>COST OF SERVICE + GROSS MARGIN</x:v>
      </x:c>
      <x:c r="B204" s="63" t="str"/>
      <x:c r="C204" s="112"/>
      <x:c r="D204" s="112"/>
      <x:c r="E204" s="112"/>
      <x:c r="F204" s="112"/>
      <x:c r="G204" s="112"/>
      <x:c r="H204" s="112"/>
      <x:c r="I204" s="112"/>
      <x:c r="J204" s="112"/>
      <x:c r="K204" s="112"/>
      <x:c r="L204" s="112"/>
      <x:c r="M204" s="112"/>
      <x:c r="N204" s="112"/>
      <x:c r="O204" s="112"/>
      <x:c r="P204" s="112"/>
      <x:c r="Q204" s="112"/>
      <x:c r="R204" s="112"/>
      <x:c r="S204" s="112"/>
      <x:c r="T204" s="112"/>
      <x:c r="U204" s="112"/>
      <x:c r="V204" s="112"/>
      <x:c r="W204" s="112"/>
      <x:c r="X204" s="112"/>
      <x:c r="Y204" s="112"/>
      <x:c r="Z204" s="112"/>
      <x:c r="AA204" s="112"/>
      <x:c r="AB204" s="112"/>
      <x:c r="AC204" s="112"/>
      <x:c r="AD204" s="112"/>
      <x:c r="AE204" s="112"/>
      <x:c r="AF204" s="112"/>
      <x:c r="AG204" s="112"/>
      <x:c r="AH204" s="112"/>
      <x:c r="AI204" s="112"/>
      <x:c r="AJ204" s="112"/>
      <x:c r="AK204" s="112"/>
      <x:c r="AL204" s="112"/>
    </x:row>
    <x:row r="205">
      <x:c r="A205" s="84" t="str">
        <x:v>External delivery labour</x:v>
      </x:c>
      <x:c r="B205" s="84" t="str">
        <x:v>$</x:v>
      </x:c>
      <x:c r="C205" s="114" t="n">
        <x:f>C201*'Scenarios'!$E$38+C202*'Scenarios'!$E$39</x:f>
        <x:v>0</x:v>
      </x:c>
      <x:c r="D205" s="114" t="n">
        <x:f>D201*'Scenarios'!$E$38+D202*'Scenarios'!$E$39</x:f>
        <x:v>0</x:v>
      </x:c>
      <x:c r="E205" s="114" t="n">
        <x:f>E201*'Scenarios'!$E$38+E202*'Scenarios'!$E$39</x:f>
        <x:v>0</x:v>
      </x:c>
      <x:c r="F205" s="114" t="n">
        <x:f>F201*'Scenarios'!$E$38+F202*'Scenarios'!$E$39</x:f>
        <x:v>0</x:v>
      </x:c>
      <x:c r="G205" s="114" t="n">
        <x:f>G201*'Scenarios'!$E$38+G202*'Scenarios'!$E$39</x:f>
        <x:v>0</x:v>
      </x:c>
      <x:c r="H205" s="114" t="n">
        <x:f>H201*'Scenarios'!$E$38+H202*'Scenarios'!$E$39</x:f>
        <x:v>0</x:v>
      </x:c>
      <x:c r="I205" s="114" t="n">
        <x:f>I201*'Scenarios'!$E$38+I202*'Scenarios'!$E$39</x:f>
        <x:v>316.1450266858468</x:v>
      </x:c>
      <x:c r="J205" s="114" t="n">
        <x:f>J201*'Scenarios'!$E$38+J202*'Scenarios'!$E$39</x:f>
        <x:v>1561.6732222523217</x:v>
      </x:c>
      <x:c r="K205" s="114" t="n">
        <x:f>K201*'Scenarios'!$E$38+K202*'Scenarios'!$E$39</x:f>
        <x:v>2391.737141071466</x:v>
      </x:c>
      <x:c r="L205" s="114" t="n">
        <x:f>L201*'Scenarios'!$E$38+L202*'Scenarios'!$E$39</x:f>
        <x:v>2514.913372723632</x:v>
      </x:c>
      <x:c r="M205" s="114" t="n">
        <x:f>M201*'Scenarios'!$E$38+M202*'Scenarios'!$E$39</x:f>
        <x:v>3151.6012702463954</x:v>
      </x:c>
      <x:c r="N205" s="114" t="n">
        <x:f>N201*'Scenarios'!$E$38+N202*'Scenarios'!$E$39</x:f>
        <x:v>3781.9222887939313</x:v>
      </x:c>
      <x:c r="O205" s="114" t="n">
        <x:f>O201*'Scenarios'!$E$38+O202*'Scenarios'!$E$39</x:f>
        <x:v>4539.815097155993</x:v>
      </x:c>
      <x:c r="P205" s="114" t="n">
        <x:f>P201*'Scenarios'!$E$38+P202*'Scenarios'!$E$39</x:f>
        <x:v>5612.767727434433</x:v>
      </x:c>
      <x:c r="Q205" s="114" t="n">
        <x:f>Q201*'Scenarios'!$E$38+Q202*'Scenarios'!$E$39</x:f>
        <x:v>6359.592487660088</x:v>
      </x:c>
      <x:c r="R205" s="114" t="n">
        <x:f>R201*'Scenarios'!$E$38+R202*'Scenarios'!$E$39</x:f>
        <x:v>7098.949000283487</x:v>
      </x:c>
      <x:c r="S205" s="114" t="n">
        <x:f>S201*'Scenarios'!$E$38+S202*'Scenarios'!$E$39</x:f>
        <x:v>7830.9119477806535</x:v>
      </x:c>
      <x:c r="T205" s="114" t="n">
        <x:f>T201*'Scenarios'!$E$38+T202*'Scenarios'!$E$39</x:f>
        <x:v>8555.555265802846</x:v>
      </x:c>
      <x:c r="U205" s="114" t="n">
        <x:f>U201*'Scenarios'!$E$38+U202*'Scenarios'!$E$39</x:f>
        <x:v>9540.70215064482</x:v>
      </x:c>
      <x:c r="V205" s="114" t="n">
        <x:f>V201*'Scenarios'!$E$38+V202*'Scenarios'!$E$39</x:f>
        <x:v>11261.629251815695</x:v>
      </x:c>
      <x:c r="W205" s="114" t="n">
        <x:f>W201*'Scenarios'!$E$38+W202*'Scenarios'!$E$39</x:f>
        <x:v>12505.636000964207</x:v>
      </x:c>
      <x:c r="X205" s="114" t="n">
        <x:f>X201*'Scenarios'!$E$38+X202*'Scenarios'!$E$39</x:f>
        <x:v>13737.202682621228</x:v>
      </x:c>
      <x:c r="Y205" s="114" t="n">
        <x:f>Y201*'Scenarios'!$E$38+Y202*'Scenarios'!$E$39</x:f>
        <x:v>14956.453697461682</x:v>
      </x:c>
      <x:c r="Z205" s="114" t="n">
        <x:f>Z201*'Scenarios'!$E$38+Z202*'Scenarios'!$E$39</x:f>
        <x:v>16163.512202153728</x:v>
      </x:c>
      <x:c r="AA205" s="114" t="n">
        <x:f>AA201*'Scenarios'!$E$38+AA202*'Scenarios'!$E$39</x:f>
        <x:v>17896.12512179886</x:v>
      </x:c>
      <x:c r="AB205" s="114" t="n">
        <x:f>AB201*'Scenarios'!$E$38+AB202*'Scenarios'!$E$39</x:f>
        <x:v>20242.388162247535</x:v>
      </x:c>
      <x:c r="AC205" s="114" t="n">
        <x:f>AC201*'Scenarios'!$E$38+AC202*'Scenarios'!$E$39</x:f>
        <x:v>21759.1705827084</x:v>
      </x:c>
      <x:c r="AD205" s="114" t="n">
        <x:f>AD201*'Scenarios'!$E$38+AD202*'Scenarios'!$E$39</x:f>
        <x:v>23260.78517896465</x:v>
      </x:c>
      <x:c r="AE205" s="114" t="n">
        <x:f>AE201*'Scenarios'!$E$38+AE202*'Scenarios'!$E$39</x:f>
        <x:v>24747.383629258344</x:v>
      </x:c>
      <x:c r="AF205" s="114" t="n">
        <x:f>AF201*'Scenarios'!$E$38+AF202*'Scenarios'!$E$39</x:f>
        <x:v>26219.11609504909</x:v>
      </x:c>
      <x:c r="AG205" s="114" t="n">
        <x:f>AG201*'Scenarios'!$E$38+AG202*'Scenarios'!$E$39</x:f>
        <x:v>27676.131236181933</x:v>
      </x:c>
      <x:c r="AH205" s="114" t="n">
        <x:f>AH201*'Scenarios'!$E$38+AH202*'Scenarios'!$E$39</x:f>
        <x:v>29118.57622590345</x:v>
      </x:c>
      <x:c r="AI205" s="114" t="n">
        <x:f>AI201*'Scenarios'!$E$38+AI202*'Scenarios'!$E$39</x:f>
        <x:v>30546.596765727743</x:v>
      </x:c>
      <x:c r="AJ205" s="114" t="n">
        <x:f>AJ201*'Scenarios'!$E$38+AJ202*'Scenarios'!$E$39</x:f>
        <x:v>31960.337100153803</x:v>
      </x:c>
      <x:c r="AK205" s="114" t="n">
        <x:f>AK201*'Scenarios'!$E$38+AK202*'Scenarios'!$E$39</x:f>
        <x:v>33359.9400312356</x:v>
      </x:c>
      <x:c r="AL205" s="114" t="n">
        <x:f>AL201*'Scenarios'!$E$38+AL202*'Scenarios'!$E$39</x:f>
        <x:v>34745.54693300657</x:v>
      </x:c>
    </x:row>
    <x:row r="206">
      <x:c r="A206" s="84" t="str">
        <x:v>Founder economic delivery cost</x:v>
      </x:c>
      <x:c r="B206" s="84" t="str">
        <x:v>$</x:v>
      </x:c>
      <x:c r="C206" s="114" t="n">
        <x:f>C199*'Scenarios'!$E$33</x:f>
        <x:v>923.3125</x:v>
      </x:c>
      <x:c r="D206" s="114" t="n">
        <x:f>D199*'Scenarios'!$E$33</x:f>
        <x:v>2617.575</x:v>
      </x:c>
      <x:c r="E206" s="114" t="n">
        <x:f>E199*'Scenarios'!$E$33</x:f>
        <x:v>3120.912151041666</x:v>
      </x:c>
      <x:c r="F206" s="114" t="n">
        <x:f>F199*'Scenarios'!$E$33</x:f>
        <x:v>3864.6534305729165</x:v>
      </x:c>
      <x:c r="G206" s="114" t="n">
        <x:f>G199*'Scenarios'!$E$33</x:f>
        <x:v>5192.461672308853</x:v>
      </x:c>
      <x:c r="H206" s="114" t="n">
        <x:f>H199*'Scenarios'!$E$33</x:f>
        <x:v>5928.7615347524315</x:v>
      </x:c>
      <x:c r="I206" s="114" t="n">
        <x:f>I199*'Scenarios'!$E$33</x:f>
        <x:v>6500</x:v>
      </x:c>
      <x:c r="J206" s="114" t="n">
        <x:f>J199*'Scenarios'!$E$33</x:f>
        <x:v>6500</x:v>
      </x:c>
      <x:c r="K206" s="114" t="n">
        <x:f>K199*'Scenarios'!$E$33</x:f>
        <x:v>6500</x:v>
      </x:c>
      <x:c r="L206" s="114" t="n">
        <x:f>L199*'Scenarios'!$E$33</x:f>
        <x:v>6500</x:v>
      </x:c>
      <x:c r="M206" s="114" t="n">
        <x:f>M199*'Scenarios'!$E$33</x:f>
        <x:v>6500</x:v>
      </x:c>
      <x:c r="N206" s="114" t="n">
        <x:f>N199*'Scenarios'!$E$33</x:f>
        <x:v>6500</x:v>
      </x:c>
      <x:c r="O206" s="114" t="n">
        <x:f>O199*'Scenarios'!$E$33</x:f>
        <x:v>6500</x:v>
      </x:c>
      <x:c r="P206" s="114" t="n">
        <x:f>P199*'Scenarios'!$E$33</x:f>
        <x:v>6500</x:v>
      </x:c>
      <x:c r="Q206" s="114" t="n">
        <x:f>Q199*'Scenarios'!$E$33</x:f>
        <x:v>6500</x:v>
      </x:c>
      <x:c r="R206" s="114" t="n">
        <x:f>R199*'Scenarios'!$E$33</x:f>
        <x:v>6500</x:v>
      </x:c>
      <x:c r="S206" s="114" t="n">
        <x:f>S199*'Scenarios'!$E$33</x:f>
        <x:v>6500</x:v>
      </x:c>
      <x:c r="T206" s="114" t="n">
        <x:f>T199*'Scenarios'!$E$33</x:f>
        <x:v>6500</x:v>
      </x:c>
      <x:c r="U206" s="114" t="n">
        <x:f>U199*'Scenarios'!$E$33</x:f>
        <x:v>6500</x:v>
      </x:c>
      <x:c r="V206" s="114" t="n">
        <x:f>V199*'Scenarios'!$E$33</x:f>
        <x:v>6500</x:v>
      </x:c>
      <x:c r="W206" s="114" t="n">
        <x:f>W199*'Scenarios'!$E$33</x:f>
        <x:v>6500</x:v>
      </x:c>
      <x:c r="X206" s="114" t="n">
        <x:f>X199*'Scenarios'!$E$33</x:f>
        <x:v>6500</x:v>
      </x:c>
      <x:c r="Y206" s="114" t="n">
        <x:f>Y199*'Scenarios'!$E$33</x:f>
        <x:v>6500</x:v>
      </x:c>
      <x:c r="Z206" s="114" t="n">
        <x:f>Z199*'Scenarios'!$E$33</x:f>
        <x:v>6500</x:v>
      </x:c>
      <x:c r="AA206" s="114" t="n">
        <x:f>AA199*'Scenarios'!$E$33</x:f>
        <x:v>6500</x:v>
      </x:c>
      <x:c r="AB206" s="114" t="n">
        <x:f>AB199*'Scenarios'!$E$33</x:f>
        <x:v>6500</x:v>
      </x:c>
      <x:c r="AC206" s="114" t="n">
        <x:f>AC199*'Scenarios'!$E$33</x:f>
        <x:v>6500</x:v>
      </x:c>
      <x:c r="AD206" s="114" t="n">
        <x:f>AD199*'Scenarios'!$E$33</x:f>
        <x:v>6500</x:v>
      </x:c>
      <x:c r="AE206" s="114" t="n">
        <x:f>AE199*'Scenarios'!$E$33</x:f>
        <x:v>6500</x:v>
      </x:c>
      <x:c r="AF206" s="114" t="n">
        <x:f>AF199*'Scenarios'!$E$33</x:f>
        <x:v>6500</x:v>
      </x:c>
      <x:c r="AG206" s="114" t="n">
        <x:f>AG199*'Scenarios'!$E$33</x:f>
        <x:v>6500</x:v>
      </x:c>
      <x:c r="AH206" s="114" t="n">
        <x:f>AH199*'Scenarios'!$E$33</x:f>
        <x:v>6500</x:v>
      </x:c>
      <x:c r="AI206" s="114" t="n">
        <x:f>AI199*'Scenarios'!$E$33</x:f>
        <x:v>6500</x:v>
      </x:c>
      <x:c r="AJ206" s="114" t="n">
        <x:f>AJ199*'Scenarios'!$E$33</x:f>
        <x:v>6500</x:v>
      </x:c>
      <x:c r="AK206" s="114" t="n">
        <x:f>AK199*'Scenarios'!$E$33</x:f>
        <x:v>6500</x:v>
      </x:c>
      <x:c r="AL206" s="114" t="n">
        <x:f>AL199*'Scenarios'!$E$33</x:f>
        <x:v>6500</x:v>
      </x:c>
    </x:row>
    <x:row r="207">
      <x:c r="A207" s="84" t="str">
        <x:v>Platform / direct account cost</x:v>
      </x:c>
      <x:c r="B207" s="84" t="str">
        <x:v>$</x:v>
      </x:c>
      <x:c r="C207" s="114" t="n">
        <x:f>C173*'Scenarios'!$E$48</x:f>
        <x:v>0</x:v>
      </x:c>
      <x:c r="D207" s="114" t="n">
        <x:f>D173*'Scenarios'!$E$48</x:f>
        <x:v>0</x:v>
      </x:c>
      <x:c r="E207" s="114" t="n">
        <x:f>E173*'Scenarios'!$E$48</x:f>
        <x:v>49.83125</x:v>
      </x:c>
      <x:c r="F207" s="114" t="n">
        <x:f>F173*'Scenarios'!$E$48</x:f>
        <x:v>99.16418749999998</x:v>
      </x:c>
      <x:c r="G207" s="114" t="n">
        <x:f>G173*'Scenarios'!$E$48</x:f>
        <x:v>148.00379562499998</x:v>
      </x:c>
      <x:c r="H207" s="114" t="n">
        <x:f>H173*'Scenarios'!$E$48</x:f>
        <x:v>220.89875766874997</x:v>
      </x:c>
      <x:c r="I207" s="114" t="n">
        <x:f>I173*'Scenarios'!$E$48</x:f>
        <x:v>293.0647700920624</x:v>
      </x:c>
      <x:c r="J207" s="114" t="n">
        <x:f>J173*'Scenarios'!$E$48</x:f>
        <x:v>364.5091223911419</x:v>
      </x:c>
      <x:c r="K207" s="114" t="n">
        <x:f>K173*'Scenarios'!$E$48</x:f>
        <x:v>453.8327811672304</x:v>
      </x:c>
      <x:c r="L207" s="114" t="n">
        <x:f>L173*'Scenarios'!$E$48</x:f>
        <x:v>542.2632033555581</x:v>
      </x:c>
      <x:c r="M207" s="114" t="n">
        <x:f>M173*'Scenarios'!$E$48</x:f>
        <x:v>629.8093213220026</x:v>
      </x:c>
      <x:c r="N207" s="114" t="n">
        <x:f>N173*'Scenarios'!$E$48</x:f>
        <x:v>716.4799781087826</x:v>
      </x:c>
      <x:c r="O207" s="114" t="n">
        <x:f>O173*'Scenarios'!$E$48</x:f>
        <x:v>802.2839283276948</x:v>
      </x:c>
      <x:c r="P207" s="114" t="n">
        <x:f>P173*'Scenarios'!$E$48</x:f>
        <x:v>887.2298390444179</x:v>
      </x:c>
      <x:c r="Q207" s="114" t="n">
        <x:f>Q173*'Scenarios'!$E$48</x:f>
        <x:v>989.9200406539736</x:v>
      </x:c>
      <x:c r="R207" s="114" t="n">
        <x:f>R173*'Scenarios'!$E$48</x:f>
        <x:v>1091.583340247434</x:v>
      </x:c>
      <x:c r="S207" s="114" t="n">
        <x:f>S173*'Scenarios'!$E$48</x:f>
        <x:v>1192.2300068449597</x:v>
      </x:c>
      <x:c r="T207" s="114" t="n">
        <x:f>T173*'Scenarios'!$E$48</x:f>
        <x:v>1291.87020677651</x:v>
      </x:c>
      <x:c r="U207" s="114" t="n">
        <x:f>U173*'Scenarios'!$E$48</x:f>
        <x:v>1390.514004708745</x:v>
      </x:c>
      <x:c r="V207" s="114" t="n">
        <x:f>V173*'Scenarios'!$E$48</x:f>
        <x:v>1488.1713646616574</x:v>
      </x:c>
      <x:c r="W207" s="114" t="n">
        <x:f>W173*'Scenarios'!$E$48</x:f>
        <x:v>1622.0396510150408</x:v>
      </x:c>
      <x:c r="X207" s="114" t="n">
        <x:f>X173*'Scenarios'!$E$48</x:f>
        <x:v>1754.5692545048903</x:v>
      </x:c>
      <x:c r="Y207" s="114" t="n">
        <x:f>Y173*'Scenarios'!$E$48</x:f>
        <x:v>1885.7735619598413</x:v>
      </x:c>
      <x:c r="Z207" s="114" t="n">
        <x:f>Z173*'Scenarios'!$E$48</x:f>
        <x:v>2015.6658263402428</x:v>
      </x:c>
      <x:c r="AA207" s="114" t="n">
        <x:f>AA173*'Scenarios'!$E$48</x:f>
        <x:v>2144.2591680768405</x:v>
      </x:c>
      <x:c r="AB207" s="114" t="n">
        <x:f>AB173*'Scenarios'!$E$48</x:f>
        <x:v>2271.5665763960724</x:v>
      </x:c>
      <x:c r="AC207" s="114" t="n">
        <x:f>AC173*'Scenarios'!$E$48</x:f>
        <x:v>2434.7884106321117</x:v>
      </x:c>
      <x:c r="AD207" s="114" t="n">
        <x:f>AD173*'Scenarios'!$E$48</x:f>
        <x:v>2596.3780265257906</x:v>
      </x:c>
      <x:c r="AE207" s="114" t="n">
        <x:f>AE173*'Scenarios'!$E$48</x:f>
        <x:v>2756.3517462605328</x:v>
      </x:c>
      <x:c r="AF207" s="114" t="n">
        <x:f>AF173*'Scenarios'!$E$48</x:f>
        <x:v>2914.725728797928</x:v>
      </x:c>
      <x:c r="AG207" s="114" t="n">
        <x:f>AG173*'Scenarios'!$E$48</x:f>
        <x:v>3071.5159715099485</x:v>
      </x:c>
      <x:c r="AH207" s="114" t="n">
        <x:f>AH173*'Scenarios'!$E$48</x:f>
        <x:v>3226.738311794849</x:v>
      </x:c>
      <x:c r="AI207" s="114" t="n">
        <x:f>AI173*'Scenarios'!$E$48</x:f>
        <x:v>3380.4084286769003</x:v>
      </x:c>
      <x:c r="AJ207" s="114" t="n">
        <x:f>AJ173*'Scenarios'!$E$48</x:f>
        <x:v>3532.5418443901312</x:v>
      </x:c>
      <x:c r="AK207" s="114" t="n">
        <x:f>AK173*'Scenarios'!$E$48</x:f>
        <x:v>3683.15392594623</x:v>
      </x:c>
      <x:c r="AL207" s="114" t="n">
        <x:f>AL173*'Scenarios'!$E$48</x:f>
        <x:v>3832.259886686768</x:v>
      </x:c>
    </x:row>
    <x:row r="208">
      <x:c r="A208" s="84" t="str">
        <x:v>Payment / bad-debt reserve</x:v>
      </x:c>
      <x:c r="B208" s="84" t="str">
        <x:v>$</x:v>
      </x:c>
      <x:c r="C208" s="114" t="n">
        <x:f>C188*'Scenarios'!$E$49</x:f>
        <x:v>67.71275</x:v>
      </x:c>
      <x:c r="D208" s="114" t="n">
        <x:f>D188*'Scenarios'!$E$49</x:f>
        <x:v>163.88823499999998</x:v>
      </x:c>
      <x:c r="E208" s="114" t="n">
        <x:f>E188*'Scenarios'!$E$49</x:f>
        <x:v>209.7585982625</x:v>
      </x:c>
      <x:c r="F208" s="114" t="n">
        <x:f>F188*'Scenarios'!$E$49</x:f>
        <x:v>271.282507892375</x:v>
      </x:c>
      <x:c r="G208" s="114" t="n">
        <x:f>G188*'Scenarios'!$E$49</x:f>
        <x:v>363.61006592595123</x:v>
      </x:c>
      <x:c r="H208" s="114" t="n">
        <x:f>H188*'Scenarios'!$E$49</x:f>
        <x:v>430.7108990166917</x:v>
      </x:c>
      <x:c r="I208" s="114" t="n">
        <x:f>I188*'Scenarios'!$E$49</x:f>
        <x:v>509.34697377652486</x:v>
      </x:c>
      <x:c r="J208" s="114" t="n">
        <x:f>J188*'Scenarios'!$E$49</x:f>
        <x:v>610.9988752887596</x:v>
      </x:c>
      <x:c r="K208" s="114" t="n">
        <x:f>K188*'Scenarios'!$E$49</x:f>
        <x:v>693.2225537233721</x:v>
      </x:c>
      <x:c r="L208" s="114" t="n">
        <x:f>L188*'Scenarios'!$E$49</x:f>
        <x:v>774.6239953736383</x:v>
      </x:c>
      <x:c r="M208" s="114" t="n">
        <x:f>M188*'Scenarios'!$E$49</x:f>
        <x:v>855.2114226074019</x:v>
      </x:c>
      <x:c r="N208" s="114" t="n">
        <x:f>N188*'Scenarios'!$E$49</x:f>
        <x:v>934.992975568828</x:v>
      </x:c>
      <x:c r="O208" s="114" t="n">
        <x:f>O188*'Scenarios'!$E$49</x:f>
        <x:v>1026.1829630006398</x:v>
      </x:c>
      <x:c r="P208" s="114" t="n">
        <x:f>P188*'Scenarios'!$E$49</x:f>
        <x:v>1140.2632380581333</x:v>
      </x:c>
      <x:c r="Q208" s="114" t="n">
        <x:f>Q188*'Scenarios'!$E$49</x:f>
        <x:v>1234.791006302552</x:v>
      </x:c>
      <x:c r="R208" s="114" t="n">
        <x:f>R188*'Scenarios'!$E$49</x:f>
        <x:v>1328.3734968645265</x:v>
      </x:c>
      <x:c r="S208" s="114" t="n">
        <x:f>S188*'Scenarios'!$E$49</x:f>
        <x:v>1421.0201625208813</x:v>
      </x:c>
      <x:c r="T208" s="114" t="n">
        <x:f>T188*'Scenarios'!$E$49</x:f>
        <x:v>1512.7403615206724</x:v>
      </x:c>
      <x:c r="U208" s="114" t="n">
        <x:f>U188*'Scenarios'!$E$49</x:f>
        <x:v>1627.955858530466</x:v>
      </x:c>
      <x:c r="V208" s="114" t="n">
        <x:f>V188*'Scenarios'!$E$49</x:f>
        <x:v>1789.6235755701612</x:v>
      </x:c>
      <x:c r="W208" s="114" t="n">
        <x:f>W188*'Scenarios'!$E$49</x:f>
        <x:v>1912.851207314459</x:v>
      </x:c>
      <x:c r="X208" s="114" t="n">
        <x:f>X188*'Scenarios'!$E$49</x:f>
        <x:v>2034.8465627413148</x:v>
      </x:c>
      <x:c r="Y208" s="114" t="n">
        <x:f>Y188*'Scenarios'!$E$49</x:f>
        <x:v>2155.6219646139016</x:v>
      </x:c>
      <x:c r="Z208" s="114" t="n">
        <x:f>Z188*'Scenarios'!$E$49</x:f>
        <x:v>2275.1896124677623</x:v>
      </x:c>
      <x:c r="AA208" s="114" t="n">
        <x:f>AA188*'Scenarios'!$E$49</x:f>
        <x:v>2435.4740838430844</x:v>
      </x:c>
      <x:c r="AB208" s="114" t="n">
        <x:f>AB188*'Scenarios'!$E$49</x:f>
        <x:v>2624.435085504654</x:v>
      </x:c>
      <x:c r="AC208" s="114" t="n">
        <x:f>AC188*'Scenarios'!$E$49</x:f>
        <x:v>2774.6830690246084</x:v>
      </x:c>
      <x:c r="AD208" s="114" t="n">
        <x:f>AD188*'Scenarios'!$E$49</x:f>
        <x:v>2923.428572709362</x:v>
      </x:c>
      <x:c r="AE208" s="114" t="n">
        <x:f>AE188*'Scenarios'!$E$49</x:f>
        <x:v>3070.6866213572685</x:v>
      </x:c>
      <x:c r="AF208" s="114" t="n">
        <x:f>AF188*'Scenarios'!$E$49</x:f>
        <x:v>3216.4720895186956</x:v>
      </x:c>
      <x:c r="AG208" s="114" t="n">
        <x:f>AG188*'Scenarios'!$E$49</x:f>
        <x:v>3360.7997029985086</x:v>
      </x:c>
      <x:c r="AH208" s="114" t="n">
        <x:f>AH188*'Scenarios'!$E$49</x:f>
        <x:v>3503.684040343524</x:v>
      </x:c>
      <x:c r="AI208" s="114" t="n">
        <x:f>AI188*'Scenarios'!$E$49</x:f>
        <x:v>3645.1395343150884</x:v>
      </x:c>
      <x:c r="AJ208" s="114" t="n">
        <x:f>AJ188*'Scenarios'!$E$49</x:f>
        <x:v>3785.180473346937</x:v>
      </x:c>
      <x:c r="AK208" s="114" t="n">
        <x:f>AK188*'Scenarios'!$E$49</x:f>
        <x:v>3923.8210029884685</x:v>
      </x:c>
      <x:c r="AL208" s="114" t="n">
        <x:f>AL188*'Scenarios'!$E$49</x:f>
        <x:v>4061.0751273335836</x:v>
      </x:c>
    </x:row>
    <x:row r="209">
      <x:c r="A209" s="84" t="str">
        <x:v>Cash cost of service</x:v>
      </x:c>
      <x:c r="B209" s="84" t="str">
        <x:v>$</x:v>
      </x:c>
      <x:c r="C209" s="114" t="n">
        <x:f>SUM(C205,C207,C208)</x:f>
        <x:v>67.71275</x:v>
      </x:c>
      <x:c r="D209" s="114" t="n">
        <x:f>SUM(D205,D207,D208)</x:f>
        <x:v>163.88823499999998</x:v>
      </x:c>
      <x:c r="E209" s="114" t="n">
        <x:f>SUM(E205,E207,E208)</x:f>
        <x:v>259.58984826249997</x:v>
      </x:c>
      <x:c r="F209" s="114" t="n">
        <x:f>SUM(F205,F207,F208)</x:f>
        <x:v>370.446695392375</x:v>
      </x:c>
      <x:c r="G209" s="114" t="n">
        <x:f>SUM(G205,G207,G208)</x:f>
        <x:v>511.61386155095124</x:v>
      </x:c>
      <x:c r="H209" s="114" t="n">
        <x:f>SUM(H205,H207,H208)</x:f>
        <x:v>651.6096566854417</x:v>
      </x:c>
      <x:c r="I209" s="114" t="n">
        <x:f>SUM(I205,I207,I208)</x:f>
        <x:v>1118.556770554434</x:v>
      </x:c>
      <x:c r="J209" s="114" t="n">
        <x:f>SUM(J205,J207,J208)</x:f>
        <x:v>2537.181219932223</x:v>
      </x:c>
      <x:c r="K209" s="114" t="n">
        <x:f>SUM(K205,K207,K208)</x:f>
        <x:v>3538.7924759620682</x:v>
      </x:c>
      <x:c r="L209" s="114" t="n">
        <x:f>SUM(L205,L207,L208)</x:f>
        <x:v>3831.800571452829</x:v>
      </x:c>
      <x:c r="M209" s="114" t="n">
        <x:f>SUM(M205,M207,M208)</x:f>
        <x:v>4636.6220141758</x:v>
      </x:c>
      <x:c r="N209" s="114" t="n">
        <x:f>SUM(N205,N207,N208)</x:f>
        <x:v>5433.395242471542</x:v>
      </x:c>
      <x:c r="O209" s="114" t="n">
        <x:f>SUM(O205,O207,O208)</x:f>
        <x:v>6368.281988484327</x:v>
      </x:c>
      <x:c r="P209" s="114" t="n">
        <x:f>SUM(P205,P207,P208)</x:f>
        <x:v>7640.260804536984</x:v>
      </x:c>
      <x:c r="Q209" s="114" t="n">
        <x:f>SUM(Q205,Q207,Q208)</x:f>
        <x:v>8584.303534616614</x:v>
      </x:c>
      <x:c r="R209" s="114" t="n">
        <x:f>SUM(R205,R207,R208)</x:f>
        <x:v>9518.905837395447</x:v>
      </x:c>
      <x:c r="S209" s="114" t="n">
        <x:f>SUM(S205,S207,S208)</x:f>
        <x:v>10444.162117146494</x:v>
      </x:c>
      <x:c r="T209" s="114" t="n">
        <x:f>SUM(T205,T207,T208)</x:f>
        <x:v>11360.16583410003</x:v>
      </x:c>
      <x:c r="U209" s="114" t="n">
        <x:f>SUM(U205,U207,U208)</x:f>
        <x:v>12559.17201388403</x:v>
      </x:c>
      <x:c r="V209" s="114" t="n">
        <x:f>SUM(V205,V207,V208)</x:f>
        <x:v>14539.424192047514</x:v>
      </x:c>
      <x:c r="W209" s="114" t="n">
        <x:f>SUM(W205,W207,W208)</x:f>
        <x:v>16040.526859293706</x:v>
      </x:c>
      <x:c r="X209" s="114" t="n">
        <x:f>SUM(X205,X207,X208)</x:f>
        <x:v>17526.618499867433</x:v>
      </x:c>
      <x:c r="Y209" s="114" t="n">
        <x:f>SUM(Y205,Y207,Y208)</x:f>
        <x:v>18997.849224035424</x:v>
      </x:c>
      <x:c r="Z209" s="114" t="n">
        <x:f>SUM(Z205,Z207,Z208)</x:f>
        <x:v>20454.367640961733</x:v>
      </x:c>
      <x:c r="AA209" s="114" t="n">
        <x:f>SUM(AA205,AA207,AA208)</x:f>
        <x:v>22475.858373718787</x:v>
      </x:c>
      <x:c r="AB209" s="114" t="n">
        <x:f>SUM(AB205,AB207,AB208)</x:f>
        <x:v>25138.38982414826</x:v>
      </x:c>
      <x:c r="AC209" s="114" t="n">
        <x:f>SUM(AC205,AC207,AC208)</x:f>
        <x:v>26968.64206236512</x:v>
      </x:c>
      <x:c r="AD209" s="114" t="n">
        <x:f>SUM(AD205,AD207,AD208)</x:f>
        <x:v>28780.591778199803</x:v>
      </x:c>
      <x:c r="AE209" s="114" t="n">
        <x:f>SUM(AE205,AE207,AE208)</x:f>
        <x:v>30574.421996876146</x:v>
      </x:c>
      <x:c r="AF209" s="114" t="n">
        <x:f>SUM(AF205,AF207,AF208)</x:f>
        <x:v>32350.31391336571</x:v>
      </x:c>
      <x:c r="AG209" s="114" t="n">
        <x:f>SUM(AG205,AG207,AG208)</x:f>
        <x:v>34108.446910690385</x:v>
      </x:c>
      <x:c r="AH209" s="114" t="n">
        <x:f>SUM(AH205,AH207,AH208)</x:f>
        <x:v>35848.99857804182</x:v>
      </x:c>
      <x:c r="AI209" s="114" t="n">
        <x:f>SUM(AI205,AI207,AI208)</x:f>
        <x:v>37572.14472871973</x:v>
      </x:c>
      <x:c r="AJ209" s="114" t="n">
        <x:f>SUM(AJ205,AJ207,AJ208)</x:f>
        <x:v>39278.05941789087</x:v>
      </x:c>
      <x:c r="AK209" s="114" t="n">
        <x:f>SUM(AK205,AK207,AK208)</x:f>
        <x:v>40966.914960170296</x:v>
      </x:c>
      <x:c r="AL209" s="114" t="n">
        <x:f>SUM(AL205,AL207,AL208)</x:f>
        <x:v>42638.88194702692</x:v>
      </x:c>
    </x:row>
    <x:row r="210">
      <x:c r="A210" s="84" t="str">
        <x:v>Normalized cost of service</x:v>
      </x:c>
      <x:c r="B210" s="84" t="str">
        <x:v>$</x:v>
      </x:c>
      <x:c r="C210" s="114" t="n">
        <x:f>C209+C206</x:f>
        <x:v>991.02525</x:v>
      </x:c>
      <x:c r="D210" s="114" t="n">
        <x:f>D209+D206</x:f>
        <x:v>2781.4632349999997</x:v>
      </x:c>
      <x:c r="E210" s="114" t="n">
        <x:f>E209+E206</x:f>
        <x:v>3380.501999304166</x:v>
      </x:c>
      <x:c r="F210" s="114" t="n">
        <x:f>F209+F206</x:f>
        <x:v>4235.100125965291</x:v>
      </x:c>
      <x:c r="G210" s="114" t="n">
        <x:f>G209+G206</x:f>
        <x:v>5704.075533859805</x:v>
      </x:c>
      <x:c r="H210" s="114" t="n">
        <x:f>H209+H206</x:f>
        <x:v>6580.371191437873</x:v>
      </x:c>
      <x:c r="I210" s="114" t="n">
        <x:f>I209+I206</x:f>
        <x:v>7618.5567705544345</x:v>
      </x:c>
      <x:c r="J210" s="114" t="n">
        <x:f>J209+J206</x:f>
        <x:v>9037.181219932223</x:v>
      </x:c>
      <x:c r="K210" s="114" t="n">
        <x:f>K209+K206</x:f>
        <x:v>10038.79247596207</x:v>
      </x:c>
      <x:c r="L210" s="114" t="n">
        <x:f>L209+L206</x:f>
        <x:v>10331.80057145283</x:v>
      </x:c>
      <x:c r="M210" s="114" t="n">
        <x:f>M209+M206</x:f>
        <x:v>11136.6220141758</x:v>
      </x:c>
      <x:c r="N210" s="114" t="n">
        <x:f>N209+N206</x:f>
        <x:v>11933.395242471543</x:v>
      </x:c>
      <x:c r="O210" s="114" t="n">
        <x:f>O209+O206</x:f>
        <x:v>12868.281988484327</x:v>
      </x:c>
      <x:c r="P210" s="114" t="n">
        <x:f>P209+P206</x:f>
        <x:v>14140.260804536985</x:v>
      </x:c>
      <x:c r="Q210" s="114" t="n">
        <x:f>Q209+Q206</x:f>
        <x:v>15084.303534616614</x:v>
      </x:c>
      <x:c r="R210" s="114" t="n">
        <x:f>R209+R206</x:f>
        <x:v>16018.905837395447</x:v>
      </x:c>
      <x:c r="S210" s="114" t="n">
        <x:f>S209+S206</x:f>
        <x:v>16944.162117146494</x:v>
      </x:c>
      <x:c r="T210" s="114" t="n">
        <x:f>T209+T206</x:f>
        <x:v>17860.16583410003</x:v>
      </x:c>
      <x:c r="U210" s="114" t="n">
        <x:f>U209+U206</x:f>
        <x:v>19059.172013884032</x:v>
      </x:c>
      <x:c r="V210" s="114" t="n">
        <x:f>V209+V206</x:f>
        <x:v>21039.424192047514</x:v>
      </x:c>
      <x:c r="W210" s="114" t="n">
        <x:f>W209+W206</x:f>
        <x:v>22540.526859293706</x:v>
      </x:c>
      <x:c r="X210" s="114" t="n">
        <x:f>X209+X206</x:f>
        <x:v>24026.618499867433</x:v>
      </x:c>
      <x:c r="Y210" s="114" t="n">
        <x:f>Y209+Y206</x:f>
        <x:v>25497.849224035424</x:v>
      </x:c>
      <x:c r="Z210" s="114" t="n">
        <x:f>Z209+Z206</x:f>
        <x:v>26954.367640961733</x:v>
      </x:c>
      <x:c r="AA210" s="114" t="n">
        <x:f>AA209+AA206</x:f>
        <x:v>28975.858373718787</x:v>
      </x:c>
      <x:c r="AB210" s="114" t="n">
        <x:f>AB209+AB206</x:f>
        <x:v>31638.38982414826</x:v>
      </x:c>
      <x:c r="AC210" s="114" t="n">
        <x:f>AC209+AC206</x:f>
        <x:v>33468.64206236512</x:v>
      </x:c>
      <x:c r="AD210" s="114" t="n">
        <x:f>AD209+AD206</x:f>
        <x:v>35280.5917781998</x:v>
      </x:c>
      <x:c r="AE210" s="114" t="n">
        <x:f>AE209+AE206</x:f>
        <x:v>37074.421996876146</x:v>
      </x:c>
      <x:c r="AF210" s="114" t="n">
        <x:f>AF209+AF206</x:f>
        <x:v>38850.31391336571</x:v>
      </x:c>
      <x:c r="AG210" s="114" t="n">
        <x:f>AG209+AG206</x:f>
        <x:v>40608.446910690385</x:v>
      </x:c>
      <x:c r="AH210" s="114" t="n">
        <x:f>AH209+AH206</x:f>
        <x:v>42348.99857804182</x:v>
      </x:c>
      <x:c r="AI210" s="114" t="n">
        <x:f>AI209+AI206</x:f>
        <x:v>44072.14472871973</x:v>
      </x:c>
      <x:c r="AJ210" s="114" t="n">
        <x:f>AJ209+AJ206</x:f>
        <x:v>45778.05941789087</x:v>
      </x:c>
      <x:c r="AK210" s="114" t="n">
        <x:f>AK209+AK206</x:f>
        <x:v>47466.914960170296</x:v>
      </x:c>
      <x:c r="AL210" s="114" t="n">
        <x:f>AL209+AL206</x:f>
        <x:v>49138.88194702692</x:v>
      </x:c>
    </x:row>
    <x:row r="211">
      <x:c r="A211" s="84" t="str">
        <x:v>Cash gross profit</x:v>
      </x:c>
      <x:c r="B211" s="84" t="str">
        <x:v>$</x:v>
      </x:c>
      <x:c r="C211" s="114" t="n">
        <x:f>C188-C209</x:f>
        <x:v>3317.9247499999997</x:v>
      </x:c>
      <x:c r="D211" s="114" t="n">
        <x:f>D188-D209</x:f>
        <x:v>8030.523514999999</x:v>
      </x:c>
      <x:c r="E211" s="114" t="n">
        <x:f>E188-E209</x:f>
        <x:v>10228.3400648625</x:v>
      </x:c>
      <x:c r="F211" s="114" t="n">
        <x:f>F188-F209</x:f>
        <x:v>13193.678699226375</x:v>
      </x:c>
      <x:c r="G211" s="114" t="n">
        <x:f>G188-G209</x:f>
        <x:v>17668.88943474661</x:v>
      </x:c>
      <x:c r="H211" s="114" t="n">
        <x:f>H188-H209</x:f>
        <x:v>20883.93529414914</x:v>
      </x:c>
      <x:c r="I211" s="114" t="n">
        <x:f>I188-I209</x:f>
        <x:v>24348.791918271807</x:v>
      </x:c>
      <x:c r="J211" s="114" t="n">
        <x:f>J188-J209</x:f>
        <x:v>28012.762544505753</x:v>
      </x:c>
      <x:c r="K211" s="114" t="n">
        <x:f>K188-K209</x:f>
        <x:v>31122.335210206536</x:v>
      </x:c>
      <x:c r="L211" s="114" t="n">
        <x:f>L188-L209</x:f>
        <x:v>34899.39919722909</x:v>
      </x:c>
      <x:c r="M211" s="114" t="n">
        <x:f>M188-M209</x:f>
        <x:v>38123.94911619429</x:v>
      </x:c>
      <x:c r="N211" s="114" t="n">
        <x:f>N188-N209</x:f>
        <x:v>41316.25353596986</x:v>
      </x:c>
      <x:c r="O211" s="114" t="n">
        <x:f>O188-O209</x:f>
        <x:v>44940.86616154767</x:v>
      </x:c>
      <x:c r="P211" s="114" t="n">
        <x:f>P188-P209</x:f>
        <x:v>49372.90109836968</x:v>
      </x:c>
      <x:c r="Q211" s="114" t="n">
        <x:f>Q188-Q209</x:f>
        <x:v>53155.246780510985</x:v>
      </x:c>
      <x:c r="R211" s="114" t="n">
        <x:f>R188-R209</x:f>
        <x:v>56899.76900583088</x:v>
      </x:c>
      <x:c r="S211" s="114" t="n">
        <x:f>S188-S209</x:f>
        <x:v>60606.84600889757</x:v>
      </x:c>
      <x:c r="T211" s="114" t="n">
        <x:f>T188-T209</x:f>
        <x:v>64276.85224193359</x:v>
      </x:c>
      <x:c r="U211" s="114" t="n">
        <x:f>U188-U209</x:f>
        <x:v>68838.62091263926</x:v>
      </x:c>
      <x:c r="V211" s="114" t="n">
        <x:f>V188-V209</x:f>
        <x:v>74941.75458646053</x:v>
      </x:c>
      <x:c r="W211" s="114" t="n">
        <x:f>W188-W209</x:f>
        <x:v>79602.03350642924</x:v>
      </x:c>
      <x:c r="X211" s="114" t="n">
        <x:f>X188-X209</x:f>
        <x:v>84215.7096371983</x:v>
      </x:c>
      <x:c r="Y211" s="114" t="n">
        <x:f>Y188-Y209</x:f>
        <x:v>88783.24900665965</x:v>
      </x:c>
      <x:c r="Z211" s="114" t="n">
        <x:f>Z188-Z209</x:f>
        <x:v>93305.11298242639</x:v>
      </x:c>
      <x:c r="AA211" s="114" t="n">
        <x:f>AA188-AA209</x:f>
        <x:v>99297.84581843544</x:v>
      </x:c>
      <x:c r="AB211" s="114" t="n">
        <x:f>AB188-AB209</x:f>
        <x:v>106083.36445108443</x:v>
      </x:c>
      <x:c r="AC211" s="114" t="n">
        <x:f>AC188-AC209</x:f>
        <x:v>111765.51138886528</x:v>
      </x:c>
      <x:c r="AD211" s="114" t="n">
        <x:f>AD188-AD209</x:f>
        <x:v>117390.8368572683</x:v>
      </x:c>
      <x:c r="AE211" s="114" t="n">
        <x:f>AE188-AE209</x:f>
        <x:v>122959.90907098727</x:v>
      </x:c>
      <x:c r="AF211" s="114" t="n">
        <x:f>AF188-AF209</x:f>
        <x:v>128473.29056256908</x:v>
      </x:c>
      <x:c r="AG211" s="114" t="n">
        <x:f>AG188-AG209</x:f>
        <x:v>133931.53823923506</x:v>
      </x:c>
      <x:c r="AH211" s="114" t="n">
        <x:f>AH188-AH209</x:f>
        <x:v>139335.20343913438</x:v>
      </x:c>
      <x:c r="AI211" s="114" t="n">
        <x:f>AI188-AI209</x:f>
        <x:v>144684.8319870347</x:v>
      </x:c>
      <x:c r="AJ211" s="114" t="n">
        <x:f>AJ188-AJ209</x:f>
        <x:v>149980.96424945598</x:v>
      </x:c>
      <x:c r="AK211" s="114" t="n">
        <x:f>AK188-AK209</x:f>
        <x:v>155224.13518925314</x:v>
      </x:c>
      <x:c r="AL211" s="114" t="n">
        <x:f>AL188-AL209</x:f>
        <x:v>160414.87441965227</x:v>
      </x:c>
    </x:row>
    <x:row r="212">
      <x:c r="A212" s="84" t="str">
        <x:v>Cash gross margin</x:v>
      </x:c>
      <x:c r="B212" s="84" t="str">
        <x:v>%</x:v>
      </x:c>
      <x:c r="C212" s="116" t="n">
        <x:f>IF(C188=0,0,C211/C188)</x:f>
        <x:v>0.98</x:v>
      </x:c>
      <x:c r="D212" s="116" t="n">
        <x:f>IF(D188=0,0,D211/D188)</x:f>
        <x:v>0.98</x:v>
      </x:c>
      <x:c r="E212" s="116" t="n">
        <x:f>IF(E188=0,0,E211/E188)</x:f>
        <x:v>0.9752487049005124</x:v>
      </x:c>
      <x:c r="F212" s="116" t="n">
        <x:f>IF(F188=0,0,F211/F188)</x:f>
        <x:v>0.9726892309960994</x:v>
      </x:c>
      <x:c r="G212" s="116" t="n">
        <x:f>IF(G188=0,0,G211/G188)</x:f>
        <x:v>0.9718592025087038</x:v>
      </x:c>
      <x:c r="H212" s="116" t="n">
        <x:f>IF(H188=0,0,H211/H188)</x:f>
        <x:v>0.9697425972654483</x:v>
      </x:c>
      <x:c r="I212" s="116" t="n">
        <x:f>IF(I188=0,0,I211/I188)</x:f>
        <x:v>0.9560787899745057</x:v>
      </x:c>
      <x:c r="J212" s="116" t="n">
        <x:f>IF(J188=0,0,J211/J188)</x:f>
        <x:v>0.9169497253580656</x:v>
      </x:c>
      <x:c r="K212" s="116" t="n">
        <x:f>IF(K188=0,0,K211/K188)</x:f>
        <x:v>0.8979031349469275</x:v>
      </x:c>
      <x:c r="L212" s="116" t="n">
        <x:f>IF(L188=0,0,L211/L188)</x:f>
        <x:v>0.9010668248250027</x:v>
      </x:c>
      <x:c r="M212" s="116" t="n">
        <x:f>IF(M188=0,0,M211/M188)</x:f>
        <x:v>0.8915678183988822</x:v>
      </x:c>
      <x:c r="N212" s="116" t="n">
        <x:f>IF(N188=0,0,N211/N188)</x:f>
        <x:v>0.8837767687149524</x:v>
      </x:c>
      <x:c r="O212" s="116" t="n">
        <x:f>IF(O188=0,0,O211/O188)</x:f>
        <x:v>0.8758840827007502</x:v>
      </x:c>
      <x:c r="P212" s="116" t="n">
        <x:f>IF(P188=0,0,P211/P188)</x:f>
        <x:v>0.8659912807932256</x:v>
      </x:c>
      <x:c r="Q212" s="116" t="n">
        <x:f>IF(Q188=0,0,Q211/Q188)</x:f>
        <x:v>0.8609594094741363</x:v>
      </x:c>
      <x:c r="R212" s="116" t="n">
        <x:f>IF(R188=0,0,R211/R188)</x:f>
        <x:v>0.8566832918623605</x:v>
      </x:c>
      <x:c r="S212" s="116" t="n">
        <x:f>IF(S188=0,0,S211/S188)</x:f>
        <x:v>0.8530047300860445</x:v>
      </x:c>
      <x:c r="T212" s="116" t="n">
        <x:f>IF(T188=0,0,T211/T188)</x:f>
        <x:v>0.8498067993283356</x:v>
      </x:c>
      <x:c r="U212" s="116" t="n">
        <x:f>IF(U188=0,0,U211/U188)</x:f>
        <x:v>0.8457062340102879</x:v>
      </x:c>
      <x:c r="V212" s="116" t="n">
        <x:f>IF(V188=0,0,V211/V188)</x:f>
        <x:v>0.8375141634193619</x:v>
      </x:c>
      <x:c r="W212" s="116" t="n">
        <x:f>IF(W188=0,0,W211/W188)</x:f>
        <x:v>0.8322867267672769</x:v>
      </x:c>
      <x:c r="X212" s="116" t="n">
        <x:f>IF(X188=0,0,X211/X188)</x:f>
        <x:v>0.8277352325154598</x:v>
      </x:c>
      <x:c r="Y212" s="116" t="n">
        <x:f>IF(Y188=0,0,Y211/Y188)</x:f>
        <x:v>0.8237367262358716</x:v>
      </x:c>
      <x:c r="Z212" s="116" t="n">
        <x:f>IF(Z188=0,0,Z211/Z188)</x:f>
        <x:v>0.8201963693146779</x:v>
      </x:c>
      <x:c r="AA212" s="116" t="n">
        <x:f>IF(AA188=0,0,AA211/AA188)</x:f>
        <x:v>0.8154292954885174</x:v>
      </x:c>
      <x:c r="AB212" s="116" t="n">
        <x:f>IF(AB188=0,0,AB211/AB188)</x:f>
        <x:v>0.8084281835508658</x:v>
      </x:c>
      <x:c r="AC212" s="116" t="n">
        <x:f>IF(AC188=0,0,AC211/AC188)</x:f>
        <x:v>0.8056092073114103</x:v>
      </x:c>
      <x:c r="AD212" s="116" t="n">
        <x:f>IF(AD188=0,0,AD211/AD188)</x:f>
        <x:v>0.803103848358938</x:v>
      </x:c>
      <x:c r="AE212" s="116" t="n">
        <x:f>IF(AE188=0,0,AE211/AE188)</x:f>
        <x:v>0.8008626358403059</x:v>
      </x:c>
      <x:c r="AF212" s="116" t="n">
        <x:f>IF(AF188=0,0,AF211/AF188)</x:f>
        <x:v>0.7988459839661999</x:v>
      </x:c>
      <x:c r="AG212" s="116" t="n">
        <x:f>IF(AG188=0,0,AG211/AG188)</x:f>
        <x:v>0.7970218404848181</x:v>
      </x:c>
      <x:c r="AH212" s="116" t="n">
        <x:f>IF(AH188=0,0,AH211/AH188)</x:f>
        <x:v>0.7953639759450059</x:v>
      </x:c>
      <x:c r="AI212" s="116" t="n">
        <x:f>IF(AI188=0,0,AI211/AI188)</x:f>
        <x:v>0.7938507188818525</x:v>
      </x:c>
      <x:c r="AJ212" s="116" t="n">
        <x:f>IF(AJ188=0,0,AJ211/AJ188)</x:f>
        <x:v>0.7924640069636607</x:v>
      </x:c>
      <x:c r="AK212" s="116" t="n">
        <x:f>IF(AK188=0,0,AK211/AK188)</x:f>
        <x:v>0.7911886656961723</x:v>
      </x:c>
      <x:c r="AL212" s="116" t="n">
        <x:f>IF(AL188=0,0,AL211/AL188)</x:f>
        <x:v>0.790011853461954</x:v>
      </x:c>
    </x:row>
    <x:row r="213">
      <x:c r="A213" s="84" t="str">
        <x:v>Normalized gross profit</x:v>
      </x:c>
      <x:c r="B213" s="84" t="str">
        <x:v>$</x:v>
      </x:c>
      <x:c r="C213" s="114" t="n">
        <x:f>C188-C210</x:f>
        <x:v>2394.6122499999997</x:v>
      </x:c>
      <x:c r="D213" s="114" t="n">
        <x:f>D188-D210</x:f>
        <x:v>5412.948515</x:v>
      </x:c>
      <x:c r="E213" s="114" t="n">
        <x:f>E188-E210</x:f>
        <x:v>7107.427913820833</x:v>
      </x:c>
      <x:c r="F213" s="114" t="n">
        <x:f>F188-F210</x:f>
        <x:v>9329.025268653459</x:v>
      </x:c>
      <x:c r="G213" s="114" t="n">
        <x:f>G188-G210</x:f>
        <x:v>12476.427762437756</x:v>
      </x:c>
      <x:c r="H213" s="114" t="n">
        <x:f>H188-H210</x:f>
        <x:v>14955.173759396712</x:v>
      </x:c>
      <x:c r="I213" s="114" t="n">
        <x:f>I188-I210</x:f>
        <x:v>17848.791918271807</x:v>
      </x:c>
      <x:c r="J213" s="114" t="n">
        <x:f>J188-J210</x:f>
        <x:v>21512.762544505753</x:v>
      </x:c>
      <x:c r="K213" s="114" t="n">
        <x:f>K188-K210</x:f>
        <x:v>24622.335210206536</x:v>
      </x:c>
      <x:c r="L213" s="114" t="n">
        <x:f>L188-L210</x:f>
        <x:v>28399.399197229086</x:v>
      </x:c>
      <x:c r="M213" s="114" t="n">
        <x:f>M188-M210</x:f>
        <x:v>31623.949116194293</x:v>
      </x:c>
      <x:c r="N213" s="114" t="n">
        <x:f>N188-N210</x:f>
        <x:v>34816.25353596985</x:v>
      </x:c>
      <x:c r="O213" s="114" t="n">
        <x:f>O188-O210</x:f>
        <x:v>38440.86616154767</x:v>
      </x:c>
      <x:c r="P213" s="114" t="n">
        <x:f>P188-P210</x:f>
        <x:v>42872.90109836968</x:v>
      </x:c>
      <x:c r="Q213" s="114" t="n">
        <x:f>Q188-Q210</x:f>
        <x:v>46655.246780510985</x:v>
      </x:c>
      <x:c r="R213" s="114" t="n">
        <x:f>R188-R210</x:f>
        <x:v>50399.76900583088</x:v>
      </x:c>
      <x:c r="S213" s="114" t="n">
        <x:f>S188-S210</x:f>
        <x:v>54106.84600889757</x:v>
      </x:c>
      <x:c r="T213" s="114" t="n">
        <x:f>T188-T210</x:f>
        <x:v>57776.85224193359</x:v>
      </x:c>
      <x:c r="U213" s="114" t="n">
        <x:f>U188-U210</x:f>
        <x:v>62338.620912639264</x:v>
      </x:c>
      <x:c r="V213" s="114" t="n">
        <x:f>V188-V210</x:f>
        <x:v>68441.75458646053</x:v>
      </x:c>
      <x:c r="W213" s="114" t="n">
        <x:f>W188-W210</x:f>
        <x:v>73102.03350642924</x:v>
      </x:c>
      <x:c r="X213" s="114" t="n">
        <x:f>X188-X210</x:f>
        <x:v>77715.7096371983</x:v>
      </x:c>
      <x:c r="Y213" s="114" t="n">
        <x:f>Y188-Y210</x:f>
        <x:v>82283.24900665965</x:v>
      </x:c>
      <x:c r="Z213" s="114" t="n">
        <x:f>Z188-Z210</x:f>
        <x:v>86805.11298242639</x:v>
      </x:c>
      <x:c r="AA213" s="114" t="n">
        <x:f>AA188-AA210</x:f>
        <x:v>92797.84581843544</x:v>
      </x:c>
      <x:c r="AB213" s="114" t="n">
        <x:f>AB188-AB210</x:f>
        <x:v>99583.36445108443</x:v>
      </x:c>
      <x:c r="AC213" s="114" t="n">
        <x:f>AC188-AC210</x:f>
        <x:v>105265.51138886528</x:v>
      </x:c>
      <x:c r="AD213" s="114" t="n">
        <x:f>AD188-AD210</x:f>
        <x:v>110890.8368572683</x:v>
      </x:c>
      <x:c r="AE213" s="114" t="n">
        <x:f>AE188-AE210</x:f>
        <x:v>116459.90907098727</x:v>
      </x:c>
      <x:c r="AF213" s="114" t="n">
        <x:f>AF188-AF210</x:f>
        <x:v>121973.29056256908</x:v>
      </x:c>
      <x:c r="AG213" s="114" t="n">
        <x:f>AG188-AG210</x:f>
        <x:v>127431.53823923504</x:v>
      </x:c>
      <x:c r="AH213" s="114" t="n">
        <x:f>AH188-AH210</x:f>
        <x:v>132835.20343913438</x:v>
      </x:c>
      <x:c r="AI213" s="114" t="n">
        <x:f>AI188-AI210</x:f>
        <x:v>138184.8319870347</x:v>
      </x:c>
      <x:c r="AJ213" s="114" t="n">
        <x:f>AJ188-AJ210</x:f>
        <x:v>143480.96424945598</x:v>
      </x:c>
      <x:c r="AK213" s="114" t="n">
        <x:f>AK188-AK210</x:f>
        <x:v>148724.13518925314</x:v>
      </x:c>
      <x:c r="AL213" s="114" t="n">
        <x:f>AL188-AL210</x:f>
        <x:v>153914.87441965227</x:v>
      </x:c>
    </x:row>
    <x:row r="214">
      <x:c r="A214" s="84" t="str">
        <x:v>Normalized gross margin</x:v>
      </x:c>
      <x:c r="B214" s="84" t="str">
        <x:v>%</x:v>
      </x:c>
      <x:c r="C214" s="117" t="n">
        <x:f>IF(C188=0,0,C213/C188)</x:f>
        <x:v>0.7072854816855023</x:v>
      </x:c>
      <x:c r="D214" s="117" t="n">
        <x:f>IF(D188=0,0,D213/D188)</x:f>
        <x:v>0.6605658441559275</x:v>
      </x:c>
      <x:c r="E214" s="117" t="n">
        <x:f>IF(E188=0,0,E213/E188)</x:f>
        <x:v>0.6776769079021328</x:v>
      </x:c>
      <x:c r="F214" s="117" t="n">
        <x:f>IF(F188=0,0,F213/F188)</x:f>
        <x:v>0.6877719718187308</x:v>
      </x:c>
      <x:c r="G214" s="117" t="n">
        <x:f>IF(G188=0,0,G213/G188)</x:f>
        <x:v>0.6862531558726741</x:v>
      </x:c>
      <x:c r="H214" s="117" t="n">
        <x:f>IF(H188=0,0,H213/H188)</x:f>
        <x:v>0.6944413895046172</x:v>
      </x:c>
      <x:c r="I214" s="117" t="n">
        <x:f>IF(I188=0,0,I213/I188)</x:f>
        <x:v>0.7008500231554506</x:v>
      </x:c>
      <x:c r="J214" s="117" t="n">
        <x:f>IF(J188=0,0,J213/J188)</x:f>
        <x:v>0.7041833762570764</x:v>
      </x:c>
      <x:c r="K214" s="117" t="n">
        <x:f>IF(K188=0,0,K213/K188)</x:f>
        <x:v>0.7103731717312818</x:v>
      </x:c>
      <x:c r="L214" s="117" t="n">
        <x:f>IF(L188=0,0,L213/L188)</x:f>
        <x:v>0.7332434669424537</x:v>
      </x:c>
      <x:c r="M214" s="117" t="n">
        <x:f>IF(M188=0,0,M213/M188)</x:f>
        <x:v>0.7395586232882149</x:v>
      </x:c>
      <x:c r="N214" s="117" t="n">
        <x:f>IF(N188=0,0,N213/N188)</x:f>
        <x:v>0.7447382909970731</x:v>
      </x:c>
      <x:c r="O214" s="117" t="n">
        <x:f>IF(O188=0,0,O213/O188)</x:f>
        <x:v>0.7492010206278137</x:v>
      </x:c>
      <x:c r="P214" s="117" t="n">
        <x:f>IF(P188=0,0,P213/P188)</x:f>
        <x:v>0.7519825189029539</x:v>
      </x:c>
      <x:c r="Q214" s="117" t="n">
        <x:f>IF(Q188=0,0,Q213/Q188)</x:f>
        <x:v>0.7556784353364392</x:v>
      </x:c>
      <x:c r="R214" s="117" t="n">
        <x:f>IF(R188=0,0,R213/R188)</x:f>
        <x:v>0.7588192496281168</x:v>
      </x:c>
      <x:c r="S214" s="117" t="n">
        <x:f>IF(S188=0,0,S213/S188)</x:f>
        <x:v>0.7615211583333532</x:v>
      </x:c>
      <x:c r="T214" s="117" t="n">
        <x:f>IF(T188=0,0,T213/T188)</x:f>
        <x:v>0.7638700428916141</x:v>
      </x:c>
      <x:c r="U214" s="117" t="n">
        <x:f>IF(U188=0,0,U213/U188)</x:f>
        <x:v>0.7658514889821584</x:v>
      </x:c>
      <x:c r="V214" s="117" t="n">
        <x:f>IF(V188=0,0,V213/V188)</x:f>
        <x:v>0.7648731892085797</x:v>
      </x:c>
      <x:c r="W214" s="117" t="n">
        <x:f>IF(W188=0,0,W213/W188)</x:f>
        <x:v>0.7643253508364678</x:v>
      </x:c>
      <x:c r="X214" s="117" t="n">
        <x:f>IF(X188=0,0,X213/X188)</x:f>
        <x:v>0.7638483516172431</x:v>
      </x:c>
      <x:c r="Y214" s="117" t="n">
        <x:f>IF(Y188=0,0,Y213/Y188)</x:f>
        <x:v>0.7634293058560256</x:v>
      </x:c>
      <x:c r="Z214" s="117" t="n">
        <x:f>IF(Z188=0,0,Z213/Z188)</x:f>
        <x:v>0.7630582744114593</x:v>
      </x:c>
      <x:c r="AA214" s="117" t="n">
        <x:f>IF(AA188=0,0,AA213/AA188)</x:f>
        <x:v>0.7620515975436207</x:v>
      </x:c>
      <x:c r="AB214" s="117" t="n">
        <x:f>IF(AB188=0,0,AB213/AB188)</x:f>
        <x:v>0.758893713935664</x:v>
      </x:c>
      <x:c r="AC214" s="117" t="n">
        <x:f>IF(AC188=0,0,AC213/AC188)</x:f>
        <x:v>0.7587570095050139</x:v>
      </x:c>
      <x:c r="AD214" s="117" t="n">
        <x:f>IF(AD188=0,0,AD213/AD188)</x:f>
        <x:v>0.7586355137419855</x:v>
      </x:c>
      <x:c r="AE214" s="117" t="n">
        <x:f>IF(AE188=0,0,AE213/AE188)</x:f>
        <x:v>0.7585268275895314</x:v>
      </x:c>
      <x:c r="AF214" s="117" t="n">
        <x:f>IF(AF188=0,0,AF213/AF188)</x:f>
        <x:v>0.7584290313603861</x:v>
      </x:c>
      <x:c r="AG214" s="117" t="n">
        <x:f>IF(AG188=0,0,AG213/AG188)</x:f>
        <x:v>0.7583405707013156</x:v>
      </x:c>
      <x:c r="AH214" s="117" t="n">
        <x:f>IF(AH188=0,0,AH213/AH188)</x:f>
        <x:v>0.7582601736320399</x:v>
      </x:c>
      <x:c r="AI214" s="117" t="n">
        <x:f>IF(AI188=0,0,AI213/AI188)</x:f>
        <x:v>0.7581867892088759</x:v>
      </x:c>
      <x:c r="AJ214" s="117" t="n">
        <x:f>IF(AJ188=0,0,AJ213/AJ188)</x:f>
        <x:v>0.7581195415107225</x:v>
      </x:c>
      <x:c r="AK214" s="117" t="n">
        <x:f>IF(AK188=0,0,AK213/AK188)</x:f>
        <x:v>0.7580576946602894</x:v>
      </x:c>
      <x:c r="AL214" s="117" t="n">
        <x:f>IF(AL188=0,0,AL213/AL188)</x:f>
        <x:v>0.758000625911639</x:v>
      </x:c>
    </x:row>
    <x:row r="215">
      <x:c r="A215" s="63" t="str">
        <x:v>OPERATING EXPENSE</x:v>
      </x:c>
      <x:c r="B215" s="63" t="str"/>
      <x:c r="C215" s="112"/>
      <x:c r="D215" s="112"/>
      <x:c r="E215" s="112"/>
      <x:c r="F215" s="112"/>
      <x:c r="G215" s="112"/>
      <x:c r="H215" s="112"/>
      <x:c r="I215" s="112"/>
      <x:c r="J215" s="112"/>
      <x:c r="K215" s="112"/>
      <x:c r="L215" s="112"/>
      <x:c r="M215" s="112"/>
      <x:c r="N215" s="112"/>
      <x:c r="O215" s="112"/>
      <x:c r="P215" s="112"/>
      <x:c r="Q215" s="112"/>
      <x:c r="R215" s="112"/>
      <x:c r="S215" s="112"/>
      <x:c r="T215" s="112"/>
      <x:c r="U215" s="112"/>
      <x:c r="V215" s="112"/>
      <x:c r="W215" s="112"/>
      <x:c r="X215" s="112"/>
      <x:c r="Y215" s="112"/>
      <x:c r="Z215" s="112"/>
      <x:c r="AA215" s="112"/>
      <x:c r="AB215" s="112"/>
      <x:c r="AC215" s="112"/>
      <x:c r="AD215" s="112"/>
      <x:c r="AE215" s="112"/>
      <x:c r="AF215" s="112"/>
      <x:c r="AG215" s="112"/>
      <x:c r="AH215" s="112"/>
      <x:c r="AI215" s="112"/>
      <x:c r="AJ215" s="112"/>
      <x:c r="AK215" s="112"/>
      <x:c r="AL215" s="112"/>
    </x:row>
    <x:row r="216">
      <x:c r="A216" s="84" t="str">
        <x:v>Founder cash compensation</x:v>
      </x:c>
      <x:c r="B216" s="84" t="str">
        <x:v>$</x:v>
      </x:c>
      <x:c r="C216" s="114" t="n">
        <x:f>IF(C166&gt;='Scenarios'!$E$35,'Scenarios'!$E$34,0)</x:f>
        <x:v>0</x:v>
      </x:c>
      <x:c r="D216" s="114" t="n">
        <x:f>IF(D166&gt;='Scenarios'!$E$35,'Scenarios'!$E$34,0)</x:f>
        <x:v>0</x:v>
      </x:c>
      <x:c r="E216" s="114" t="n">
        <x:f>IF(E166&gt;='Scenarios'!$E$35,'Scenarios'!$E$34,0)</x:f>
        <x:v>0</x:v>
      </x:c>
      <x:c r="F216" s="114" t="n">
        <x:f>IF(F166&gt;='Scenarios'!$E$35,'Scenarios'!$E$34,0)</x:f>
        <x:v>0</x:v>
      </x:c>
      <x:c r="G216" s="114" t="n">
        <x:f>IF(G166&gt;='Scenarios'!$E$35,'Scenarios'!$E$34,0)</x:f>
        <x:v>0</x:v>
      </x:c>
      <x:c r="H216" s="114" t="n">
        <x:f>IF(H166&gt;='Scenarios'!$E$35,'Scenarios'!$E$34,0)</x:f>
        <x:v>0</x:v>
      </x:c>
      <x:c r="I216" s="114" t="n">
        <x:f>IF(I166&gt;='Scenarios'!$E$35,'Scenarios'!$E$34,0)</x:f>
        <x:v>4000</x:v>
      </x:c>
      <x:c r="J216" s="114" t="n">
        <x:f>IF(J166&gt;='Scenarios'!$E$35,'Scenarios'!$E$34,0)</x:f>
        <x:v>4000</x:v>
      </x:c>
      <x:c r="K216" s="114" t="n">
        <x:f>IF(K166&gt;='Scenarios'!$E$35,'Scenarios'!$E$34,0)</x:f>
        <x:v>4000</x:v>
      </x:c>
      <x:c r="L216" s="114" t="n">
        <x:f>IF(L166&gt;='Scenarios'!$E$35,'Scenarios'!$E$34,0)</x:f>
        <x:v>4000</x:v>
      </x:c>
      <x:c r="M216" s="114" t="n">
        <x:f>IF(M166&gt;='Scenarios'!$E$35,'Scenarios'!$E$34,0)</x:f>
        <x:v>4000</x:v>
      </x:c>
      <x:c r="N216" s="114" t="n">
        <x:f>IF(N166&gt;='Scenarios'!$E$35,'Scenarios'!$E$34,0)</x:f>
        <x:v>4000</x:v>
      </x:c>
      <x:c r="O216" s="114" t="n">
        <x:f>IF(O166&gt;='Scenarios'!$E$35,'Scenarios'!$E$34,0)</x:f>
        <x:v>4000</x:v>
      </x:c>
      <x:c r="P216" s="114" t="n">
        <x:f>IF(P166&gt;='Scenarios'!$E$35,'Scenarios'!$E$34,0)</x:f>
        <x:v>4000</x:v>
      </x:c>
      <x:c r="Q216" s="114" t="n">
        <x:f>IF(Q166&gt;='Scenarios'!$E$35,'Scenarios'!$E$34,0)</x:f>
        <x:v>4000</x:v>
      </x:c>
      <x:c r="R216" s="114" t="n">
        <x:f>IF(R166&gt;='Scenarios'!$E$35,'Scenarios'!$E$34,0)</x:f>
        <x:v>4000</x:v>
      </x:c>
      <x:c r="S216" s="114" t="n">
        <x:f>IF(S166&gt;='Scenarios'!$E$35,'Scenarios'!$E$34,0)</x:f>
        <x:v>4000</x:v>
      </x:c>
      <x:c r="T216" s="114" t="n">
        <x:f>IF(T166&gt;='Scenarios'!$E$35,'Scenarios'!$E$34,0)</x:f>
        <x:v>4000</x:v>
      </x:c>
      <x:c r="U216" s="114" t="n">
        <x:f>IF(U166&gt;='Scenarios'!$E$35,'Scenarios'!$E$34,0)</x:f>
        <x:v>4000</x:v>
      </x:c>
      <x:c r="V216" s="114" t="n">
        <x:f>IF(V166&gt;='Scenarios'!$E$35,'Scenarios'!$E$34,0)</x:f>
        <x:v>4000</x:v>
      </x:c>
      <x:c r="W216" s="114" t="n">
        <x:f>IF(W166&gt;='Scenarios'!$E$35,'Scenarios'!$E$34,0)</x:f>
        <x:v>4000</x:v>
      </x:c>
      <x:c r="X216" s="114" t="n">
        <x:f>IF(X166&gt;='Scenarios'!$E$35,'Scenarios'!$E$34,0)</x:f>
        <x:v>4000</x:v>
      </x:c>
      <x:c r="Y216" s="114" t="n">
        <x:f>IF(Y166&gt;='Scenarios'!$E$35,'Scenarios'!$E$34,0)</x:f>
        <x:v>4000</x:v>
      </x:c>
      <x:c r="Z216" s="114" t="n">
        <x:f>IF(Z166&gt;='Scenarios'!$E$35,'Scenarios'!$E$34,0)</x:f>
        <x:v>4000</x:v>
      </x:c>
      <x:c r="AA216" s="114" t="n">
        <x:f>IF(AA166&gt;='Scenarios'!$E$35,'Scenarios'!$E$34,0)</x:f>
        <x:v>4000</x:v>
      </x:c>
      <x:c r="AB216" s="114" t="n">
        <x:f>IF(AB166&gt;='Scenarios'!$E$35,'Scenarios'!$E$34,0)</x:f>
        <x:v>4000</x:v>
      </x:c>
      <x:c r="AC216" s="114" t="n">
        <x:f>IF(AC166&gt;='Scenarios'!$E$35,'Scenarios'!$E$34,0)</x:f>
        <x:v>4000</x:v>
      </x:c>
      <x:c r="AD216" s="114" t="n">
        <x:f>IF(AD166&gt;='Scenarios'!$E$35,'Scenarios'!$E$34,0)</x:f>
        <x:v>4000</x:v>
      </x:c>
      <x:c r="AE216" s="114" t="n">
        <x:f>IF(AE166&gt;='Scenarios'!$E$35,'Scenarios'!$E$34,0)</x:f>
        <x:v>4000</x:v>
      </x:c>
      <x:c r="AF216" s="114" t="n">
        <x:f>IF(AF166&gt;='Scenarios'!$E$35,'Scenarios'!$E$34,0)</x:f>
        <x:v>4000</x:v>
      </x:c>
      <x:c r="AG216" s="114" t="n">
        <x:f>IF(AG166&gt;='Scenarios'!$E$35,'Scenarios'!$E$34,0)</x:f>
        <x:v>4000</x:v>
      </x:c>
      <x:c r="AH216" s="114" t="n">
        <x:f>IF(AH166&gt;='Scenarios'!$E$35,'Scenarios'!$E$34,0)</x:f>
        <x:v>4000</x:v>
      </x:c>
      <x:c r="AI216" s="114" t="n">
        <x:f>IF(AI166&gt;='Scenarios'!$E$35,'Scenarios'!$E$34,0)</x:f>
        <x:v>4000</x:v>
      </x:c>
      <x:c r="AJ216" s="114" t="n">
        <x:f>IF(AJ166&gt;='Scenarios'!$E$35,'Scenarios'!$E$34,0)</x:f>
        <x:v>4000</x:v>
      </x:c>
      <x:c r="AK216" s="114" t="n">
        <x:f>IF(AK166&gt;='Scenarios'!$E$35,'Scenarios'!$E$34,0)</x:f>
        <x:v>4000</x:v>
      </x:c>
      <x:c r="AL216" s="114" t="n">
        <x:f>IF(AL166&gt;='Scenarios'!$E$35,'Scenarios'!$E$34,0)</x:f>
        <x:v>4000</x:v>
      </x:c>
    </x:row>
    <x:row r="217">
      <x:c r="A217" s="84" t="str">
        <x:v>Founder non-delivery economic cost</x:v>
      </x:c>
      <x:c r="B217" s="84" t="str">
        <x:v>$</x:v>
      </x:c>
      <x:c r="C217" s="114" t="n">
        <x:f>MAX('Scenarios'!$E$31*52/12-C199,0)*'Scenarios'!$E$33</x:f>
        <x:v>9910.020833333334</x:v>
      </x:c>
      <x:c r="D217" s="114" t="n">
        <x:f>MAX('Scenarios'!$E$31*52/12-D199,0)*'Scenarios'!$E$33</x:f>
        <x:v>8215.758333333333</x:v>
      </x:c>
      <x:c r="E217" s="114" t="n">
        <x:f>MAX('Scenarios'!$E$31*52/12-E199,0)*'Scenarios'!$E$33</x:f>
        <x:v>7712.421182291667</x:v>
      </x:c>
      <x:c r="F217" s="114" t="n">
        <x:f>MAX('Scenarios'!$E$31*52/12-F199,0)*'Scenarios'!$E$33</x:f>
        <x:v>6968.6799027604175</x:v>
      </x:c>
      <x:c r="G217" s="114" t="n">
        <x:f>MAX('Scenarios'!$E$31*52/12-G199,0)*'Scenarios'!$E$33</x:f>
        <x:v>5640.871661024481</x:v>
      </x:c>
      <x:c r="H217" s="114" t="n">
        <x:f>MAX('Scenarios'!$E$31*52/12-H199,0)*'Scenarios'!$E$33</x:f>
        <x:v>4904.571798580902</x:v>
      </x:c>
      <x:c r="I217" s="114" t="n">
        <x:f>MAX('Scenarios'!$E$31*52/12-I199,0)*'Scenarios'!$E$33</x:f>
        <x:v>4333.333333333334</x:v>
      </x:c>
      <x:c r="J217" s="114" t="n">
        <x:f>MAX('Scenarios'!$E$31*52/12-J199,0)*'Scenarios'!$E$33</x:f>
        <x:v>4333.333333333334</x:v>
      </x:c>
      <x:c r="K217" s="114" t="n">
        <x:f>MAX('Scenarios'!$E$31*52/12-K199,0)*'Scenarios'!$E$33</x:f>
        <x:v>4333.333333333334</x:v>
      </x:c>
      <x:c r="L217" s="114" t="n">
        <x:f>MAX('Scenarios'!$E$31*52/12-L199,0)*'Scenarios'!$E$33</x:f>
        <x:v>4333.333333333334</x:v>
      </x:c>
      <x:c r="M217" s="114" t="n">
        <x:f>MAX('Scenarios'!$E$31*52/12-M199,0)*'Scenarios'!$E$33</x:f>
        <x:v>4333.333333333334</x:v>
      </x:c>
      <x:c r="N217" s="114" t="n">
        <x:f>MAX('Scenarios'!$E$31*52/12-N199,0)*'Scenarios'!$E$33</x:f>
        <x:v>4333.333333333334</x:v>
      </x:c>
      <x:c r="O217" s="114" t="n">
        <x:f>MAX('Scenarios'!$E$31*52/12-O199,0)*'Scenarios'!$E$33</x:f>
        <x:v>4333.333333333334</x:v>
      </x:c>
      <x:c r="P217" s="114" t="n">
        <x:f>MAX('Scenarios'!$E$31*52/12-P199,0)*'Scenarios'!$E$33</x:f>
        <x:v>4333.333333333334</x:v>
      </x:c>
      <x:c r="Q217" s="114" t="n">
        <x:f>MAX('Scenarios'!$E$31*52/12-Q199,0)*'Scenarios'!$E$33</x:f>
        <x:v>4333.333333333334</x:v>
      </x:c>
      <x:c r="R217" s="114" t="n">
        <x:f>MAX('Scenarios'!$E$31*52/12-R199,0)*'Scenarios'!$E$33</x:f>
        <x:v>4333.333333333334</x:v>
      </x:c>
      <x:c r="S217" s="114" t="n">
        <x:f>MAX('Scenarios'!$E$31*52/12-S199,0)*'Scenarios'!$E$33</x:f>
        <x:v>4333.333333333334</x:v>
      </x:c>
      <x:c r="T217" s="114" t="n">
        <x:f>MAX('Scenarios'!$E$31*52/12-T199,0)*'Scenarios'!$E$33</x:f>
        <x:v>4333.333333333334</x:v>
      </x:c>
      <x:c r="U217" s="114" t="n">
        <x:f>MAX('Scenarios'!$E$31*52/12-U199,0)*'Scenarios'!$E$33</x:f>
        <x:v>4333.333333333334</x:v>
      </x:c>
      <x:c r="V217" s="114" t="n">
        <x:f>MAX('Scenarios'!$E$31*52/12-V199,0)*'Scenarios'!$E$33</x:f>
        <x:v>4333.333333333334</x:v>
      </x:c>
      <x:c r="W217" s="114" t="n">
        <x:f>MAX('Scenarios'!$E$31*52/12-W199,0)*'Scenarios'!$E$33</x:f>
        <x:v>4333.333333333334</x:v>
      </x:c>
      <x:c r="X217" s="114" t="n">
        <x:f>MAX('Scenarios'!$E$31*52/12-X199,0)*'Scenarios'!$E$33</x:f>
        <x:v>4333.333333333334</x:v>
      </x:c>
      <x:c r="Y217" s="114" t="n">
        <x:f>MAX('Scenarios'!$E$31*52/12-Y199,0)*'Scenarios'!$E$33</x:f>
        <x:v>4333.333333333334</x:v>
      </x:c>
      <x:c r="Z217" s="114" t="n">
        <x:f>MAX('Scenarios'!$E$31*52/12-Z199,0)*'Scenarios'!$E$33</x:f>
        <x:v>4333.333333333334</x:v>
      </x:c>
      <x:c r="AA217" s="114" t="n">
        <x:f>MAX('Scenarios'!$E$31*52/12-AA199,0)*'Scenarios'!$E$33</x:f>
        <x:v>4333.333333333334</x:v>
      </x:c>
      <x:c r="AB217" s="114" t="n">
        <x:f>MAX('Scenarios'!$E$31*52/12-AB199,0)*'Scenarios'!$E$33</x:f>
        <x:v>4333.333333333334</x:v>
      </x:c>
      <x:c r="AC217" s="114" t="n">
        <x:f>MAX('Scenarios'!$E$31*52/12-AC199,0)*'Scenarios'!$E$33</x:f>
        <x:v>4333.333333333334</x:v>
      </x:c>
      <x:c r="AD217" s="114" t="n">
        <x:f>MAX('Scenarios'!$E$31*52/12-AD199,0)*'Scenarios'!$E$33</x:f>
        <x:v>4333.333333333334</x:v>
      </x:c>
      <x:c r="AE217" s="114" t="n">
        <x:f>MAX('Scenarios'!$E$31*52/12-AE199,0)*'Scenarios'!$E$33</x:f>
        <x:v>4333.333333333334</x:v>
      </x:c>
      <x:c r="AF217" s="114" t="n">
        <x:f>MAX('Scenarios'!$E$31*52/12-AF199,0)*'Scenarios'!$E$33</x:f>
        <x:v>4333.333333333334</x:v>
      </x:c>
      <x:c r="AG217" s="114" t="n">
        <x:f>MAX('Scenarios'!$E$31*52/12-AG199,0)*'Scenarios'!$E$33</x:f>
        <x:v>4333.333333333334</x:v>
      </x:c>
      <x:c r="AH217" s="114" t="n">
        <x:f>MAX('Scenarios'!$E$31*52/12-AH199,0)*'Scenarios'!$E$33</x:f>
        <x:v>4333.333333333334</x:v>
      </x:c>
      <x:c r="AI217" s="114" t="n">
        <x:f>MAX('Scenarios'!$E$31*52/12-AI199,0)*'Scenarios'!$E$33</x:f>
        <x:v>4333.333333333334</x:v>
      </x:c>
      <x:c r="AJ217" s="114" t="n">
        <x:f>MAX('Scenarios'!$E$31*52/12-AJ199,0)*'Scenarios'!$E$33</x:f>
        <x:v>4333.333333333334</x:v>
      </x:c>
      <x:c r="AK217" s="114" t="n">
        <x:f>MAX('Scenarios'!$E$31*52/12-AK199,0)*'Scenarios'!$E$33</x:f>
        <x:v>4333.333333333334</x:v>
      </x:c>
      <x:c r="AL217" s="114" t="n">
        <x:f>MAX('Scenarios'!$E$31*52/12-AL199,0)*'Scenarios'!$E$33</x:f>
        <x:v>4333.333333333334</x:v>
      </x:c>
    </x:row>
    <x:row r="218">
      <x:c r="A218" s="84" t="str">
        <x:v>Software and administration</x:v>
      </x:c>
      <x:c r="B218" s="84" t="str">
        <x:v>$</x:v>
      </x:c>
      <x:c r="C218" s="114" t="n">
        <x:f>'Scenarios'!$E$50</x:f>
        <x:v>1500</x:v>
      </x:c>
      <x:c r="D218" s="114" t="n">
        <x:f>'Scenarios'!$E$50</x:f>
        <x:v>1500</x:v>
      </x:c>
      <x:c r="E218" s="114" t="n">
        <x:f>'Scenarios'!$E$50</x:f>
        <x:v>1500</x:v>
      </x:c>
      <x:c r="F218" s="114" t="n">
        <x:f>'Scenarios'!$E$50</x:f>
        <x:v>1500</x:v>
      </x:c>
      <x:c r="G218" s="114" t="n">
        <x:f>'Scenarios'!$E$50</x:f>
        <x:v>1500</x:v>
      </x:c>
      <x:c r="H218" s="114" t="n">
        <x:f>'Scenarios'!$E$50</x:f>
        <x:v>1500</x:v>
      </x:c>
      <x:c r="I218" s="114" t="n">
        <x:f>'Scenarios'!$E$50</x:f>
        <x:v>1500</x:v>
      </x:c>
      <x:c r="J218" s="114" t="n">
        <x:f>'Scenarios'!$E$50</x:f>
        <x:v>1500</x:v>
      </x:c>
      <x:c r="K218" s="114" t="n">
        <x:f>'Scenarios'!$E$50</x:f>
        <x:v>1500</x:v>
      </x:c>
      <x:c r="L218" s="114" t="n">
        <x:f>'Scenarios'!$E$50</x:f>
        <x:v>1500</x:v>
      </x:c>
      <x:c r="M218" s="114" t="n">
        <x:f>'Scenarios'!$E$50</x:f>
        <x:v>1500</x:v>
      </x:c>
      <x:c r="N218" s="114" t="n">
        <x:f>'Scenarios'!$E$50</x:f>
        <x:v>1500</x:v>
      </x:c>
      <x:c r="O218" s="114" t="n">
        <x:f>'Scenarios'!$E$50</x:f>
        <x:v>1500</x:v>
      </x:c>
      <x:c r="P218" s="114" t="n">
        <x:f>'Scenarios'!$E$50</x:f>
        <x:v>1500</x:v>
      </x:c>
      <x:c r="Q218" s="114" t="n">
        <x:f>'Scenarios'!$E$50</x:f>
        <x:v>1500</x:v>
      </x:c>
      <x:c r="R218" s="114" t="n">
        <x:f>'Scenarios'!$E$50</x:f>
        <x:v>1500</x:v>
      </x:c>
      <x:c r="S218" s="114" t="n">
        <x:f>'Scenarios'!$E$50</x:f>
        <x:v>1500</x:v>
      </x:c>
      <x:c r="T218" s="114" t="n">
        <x:f>'Scenarios'!$E$50</x:f>
        <x:v>1500</x:v>
      </x:c>
      <x:c r="U218" s="114" t="n">
        <x:f>'Scenarios'!$E$50</x:f>
        <x:v>1500</x:v>
      </x:c>
      <x:c r="V218" s="114" t="n">
        <x:f>'Scenarios'!$E$50</x:f>
        <x:v>1500</x:v>
      </x:c>
      <x:c r="W218" s="114" t="n">
        <x:f>'Scenarios'!$E$50</x:f>
        <x:v>1500</x:v>
      </x:c>
      <x:c r="X218" s="114" t="n">
        <x:f>'Scenarios'!$E$50</x:f>
        <x:v>1500</x:v>
      </x:c>
      <x:c r="Y218" s="114" t="n">
        <x:f>'Scenarios'!$E$50</x:f>
        <x:v>1500</x:v>
      </x:c>
      <x:c r="Z218" s="114" t="n">
        <x:f>'Scenarios'!$E$50</x:f>
        <x:v>1500</x:v>
      </x:c>
      <x:c r="AA218" s="114" t="n">
        <x:f>'Scenarios'!$E$50</x:f>
        <x:v>1500</x:v>
      </x:c>
      <x:c r="AB218" s="114" t="n">
        <x:f>'Scenarios'!$E$50</x:f>
        <x:v>1500</x:v>
      </x:c>
      <x:c r="AC218" s="114" t="n">
        <x:f>'Scenarios'!$E$50</x:f>
        <x:v>1500</x:v>
      </x:c>
      <x:c r="AD218" s="114" t="n">
        <x:f>'Scenarios'!$E$50</x:f>
        <x:v>1500</x:v>
      </x:c>
      <x:c r="AE218" s="114" t="n">
        <x:f>'Scenarios'!$E$50</x:f>
        <x:v>1500</x:v>
      </x:c>
      <x:c r="AF218" s="114" t="n">
        <x:f>'Scenarios'!$E$50</x:f>
        <x:v>1500</x:v>
      </x:c>
      <x:c r="AG218" s="114" t="n">
        <x:f>'Scenarios'!$E$50</x:f>
        <x:v>1500</x:v>
      </x:c>
      <x:c r="AH218" s="114" t="n">
        <x:f>'Scenarios'!$E$50</x:f>
        <x:v>1500</x:v>
      </x:c>
      <x:c r="AI218" s="114" t="n">
        <x:f>'Scenarios'!$E$50</x:f>
        <x:v>1500</x:v>
      </x:c>
      <x:c r="AJ218" s="114" t="n">
        <x:f>'Scenarios'!$E$50</x:f>
        <x:v>1500</x:v>
      </x:c>
      <x:c r="AK218" s="114" t="n">
        <x:f>'Scenarios'!$E$50</x:f>
        <x:v>1500</x:v>
      </x:c>
      <x:c r="AL218" s="114" t="n">
        <x:f>'Scenarios'!$E$50</x:f>
        <x:v>1500</x:v>
      </x:c>
    </x:row>
    <x:row r="219">
      <x:c r="A219" s="84" t="str">
        <x:v>Sales and marketing</x:v>
      </x:c>
      <x:c r="B219" s="84" t="str">
        <x:v>$</x:v>
      </x:c>
      <x:c r="C219" s="114" t="n">
        <x:f>'Scenarios'!$E$51</x:f>
        <x:v>2000</x:v>
      </x:c>
      <x:c r="D219" s="114" t="n">
        <x:f>'Scenarios'!$E$51</x:f>
        <x:v>2000</x:v>
      </x:c>
      <x:c r="E219" s="114" t="n">
        <x:f>'Scenarios'!$E$51</x:f>
        <x:v>2000</x:v>
      </x:c>
      <x:c r="F219" s="114" t="n">
        <x:f>'Scenarios'!$E$51</x:f>
        <x:v>2000</x:v>
      </x:c>
      <x:c r="G219" s="114" t="n">
        <x:f>'Scenarios'!$E$51</x:f>
        <x:v>2000</x:v>
      </x:c>
      <x:c r="H219" s="114" t="n">
        <x:f>'Scenarios'!$E$51</x:f>
        <x:v>2000</x:v>
      </x:c>
      <x:c r="I219" s="114" t="n">
        <x:f>'Scenarios'!$E$51</x:f>
        <x:v>2000</x:v>
      </x:c>
      <x:c r="J219" s="114" t="n">
        <x:f>'Scenarios'!$E$51</x:f>
        <x:v>2000</x:v>
      </x:c>
      <x:c r="K219" s="114" t="n">
        <x:f>'Scenarios'!$E$51</x:f>
        <x:v>2000</x:v>
      </x:c>
      <x:c r="L219" s="114" t="n">
        <x:f>'Scenarios'!$E$51</x:f>
        <x:v>2000</x:v>
      </x:c>
      <x:c r="M219" s="114" t="n">
        <x:f>'Scenarios'!$E$51</x:f>
        <x:v>2000</x:v>
      </x:c>
      <x:c r="N219" s="114" t="n">
        <x:f>'Scenarios'!$E$51</x:f>
        <x:v>2000</x:v>
      </x:c>
      <x:c r="O219" s="114" t="n">
        <x:f>'Scenarios'!$E$51</x:f>
        <x:v>2000</x:v>
      </x:c>
      <x:c r="P219" s="114" t="n">
        <x:f>'Scenarios'!$E$51</x:f>
        <x:v>2000</x:v>
      </x:c>
      <x:c r="Q219" s="114" t="n">
        <x:f>'Scenarios'!$E$51</x:f>
        <x:v>2000</x:v>
      </x:c>
      <x:c r="R219" s="114" t="n">
        <x:f>'Scenarios'!$E$51</x:f>
        <x:v>2000</x:v>
      </x:c>
      <x:c r="S219" s="114" t="n">
        <x:f>'Scenarios'!$E$51</x:f>
        <x:v>2000</x:v>
      </x:c>
      <x:c r="T219" s="114" t="n">
        <x:f>'Scenarios'!$E$51</x:f>
        <x:v>2000</x:v>
      </x:c>
      <x:c r="U219" s="114" t="n">
        <x:f>'Scenarios'!$E$51</x:f>
        <x:v>2000</x:v>
      </x:c>
      <x:c r="V219" s="114" t="n">
        <x:f>'Scenarios'!$E$51</x:f>
        <x:v>2000</x:v>
      </x:c>
      <x:c r="W219" s="114" t="n">
        <x:f>'Scenarios'!$E$51</x:f>
        <x:v>2000</x:v>
      </x:c>
      <x:c r="X219" s="114" t="n">
        <x:f>'Scenarios'!$E$51</x:f>
        <x:v>2000</x:v>
      </x:c>
      <x:c r="Y219" s="114" t="n">
        <x:f>'Scenarios'!$E$51</x:f>
        <x:v>2000</x:v>
      </x:c>
      <x:c r="Z219" s="114" t="n">
        <x:f>'Scenarios'!$E$51</x:f>
        <x:v>2000</x:v>
      </x:c>
      <x:c r="AA219" s="114" t="n">
        <x:f>'Scenarios'!$E$51</x:f>
        <x:v>2000</x:v>
      </x:c>
      <x:c r="AB219" s="114" t="n">
        <x:f>'Scenarios'!$E$51</x:f>
        <x:v>2000</x:v>
      </x:c>
      <x:c r="AC219" s="114" t="n">
        <x:f>'Scenarios'!$E$51</x:f>
        <x:v>2000</x:v>
      </x:c>
      <x:c r="AD219" s="114" t="n">
        <x:f>'Scenarios'!$E$51</x:f>
        <x:v>2000</x:v>
      </x:c>
      <x:c r="AE219" s="114" t="n">
        <x:f>'Scenarios'!$E$51</x:f>
        <x:v>2000</x:v>
      </x:c>
      <x:c r="AF219" s="114" t="n">
        <x:f>'Scenarios'!$E$51</x:f>
        <x:v>2000</x:v>
      </x:c>
      <x:c r="AG219" s="114" t="n">
        <x:f>'Scenarios'!$E$51</x:f>
        <x:v>2000</x:v>
      </x:c>
      <x:c r="AH219" s="114" t="n">
        <x:f>'Scenarios'!$E$51</x:f>
        <x:v>2000</x:v>
      </x:c>
      <x:c r="AI219" s="114" t="n">
        <x:f>'Scenarios'!$E$51</x:f>
        <x:v>2000</x:v>
      </x:c>
      <x:c r="AJ219" s="114" t="n">
        <x:f>'Scenarios'!$E$51</x:f>
        <x:v>2000</x:v>
      </x:c>
      <x:c r="AK219" s="114" t="n">
        <x:f>'Scenarios'!$E$51</x:f>
        <x:v>2000</x:v>
      </x:c>
      <x:c r="AL219" s="114" t="n">
        <x:f>'Scenarios'!$E$51</x:f>
        <x:v>2000</x:v>
      </x:c>
    </x:row>
    <x:row r="220">
      <x:c r="A220" s="84" t="str">
        <x:v>Legal and insurance</x:v>
      </x:c>
      <x:c r="B220" s="84" t="str">
        <x:v>$</x:v>
      </x:c>
      <x:c r="C220" s="114" t="n">
        <x:f>'Scenarios'!$E$52</x:f>
        <x:v>1000</x:v>
      </x:c>
      <x:c r="D220" s="114" t="n">
        <x:f>'Scenarios'!$E$52</x:f>
        <x:v>1000</x:v>
      </x:c>
      <x:c r="E220" s="114" t="n">
        <x:f>'Scenarios'!$E$52</x:f>
        <x:v>1000</x:v>
      </x:c>
      <x:c r="F220" s="114" t="n">
        <x:f>'Scenarios'!$E$52</x:f>
        <x:v>1000</x:v>
      </x:c>
      <x:c r="G220" s="114" t="n">
        <x:f>'Scenarios'!$E$52</x:f>
        <x:v>1000</x:v>
      </x:c>
      <x:c r="H220" s="114" t="n">
        <x:f>'Scenarios'!$E$52</x:f>
        <x:v>1000</x:v>
      </x:c>
      <x:c r="I220" s="114" t="n">
        <x:f>'Scenarios'!$E$52</x:f>
        <x:v>1000</x:v>
      </x:c>
      <x:c r="J220" s="114" t="n">
        <x:f>'Scenarios'!$E$52</x:f>
        <x:v>1000</x:v>
      </x:c>
      <x:c r="K220" s="114" t="n">
        <x:f>'Scenarios'!$E$52</x:f>
        <x:v>1000</x:v>
      </x:c>
      <x:c r="L220" s="114" t="n">
        <x:f>'Scenarios'!$E$52</x:f>
        <x:v>1000</x:v>
      </x:c>
      <x:c r="M220" s="114" t="n">
        <x:f>'Scenarios'!$E$52</x:f>
        <x:v>1000</x:v>
      </x:c>
      <x:c r="N220" s="114" t="n">
        <x:f>'Scenarios'!$E$52</x:f>
        <x:v>1000</x:v>
      </x:c>
      <x:c r="O220" s="114" t="n">
        <x:f>'Scenarios'!$E$52</x:f>
        <x:v>1000</x:v>
      </x:c>
      <x:c r="P220" s="114" t="n">
        <x:f>'Scenarios'!$E$52</x:f>
        <x:v>1000</x:v>
      </x:c>
      <x:c r="Q220" s="114" t="n">
        <x:f>'Scenarios'!$E$52</x:f>
        <x:v>1000</x:v>
      </x:c>
      <x:c r="R220" s="114" t="n">
        <x:f>'Scenarios'!$E$52</x:f>
        <x:v>1000</x:v>
      </x:c>
      <x:c r="S220" s="114" t="n">
        <x:f>'Scenarios'!$E$52</x:f>
        <x:v>1000</x:v>
      </x:c>
      <x:c r="T220" s="114" t="n">
        <x:f>'Scenarios'!$E$52</x:f>
        <x:v>1000</x:v>
      </x:c>
      <x:c r="U220" s="114" t="n">
        <x:f>'Scenarios'!$E$52</x:f>
        <x:v>1000</x:v>
      </x:c>
      <x:c r="V220" s="114" t="n">
        <x:f>'Scenarios'!$E$52</x:f>
        <x:v>1000</x:v>
      </x:c>
      <x:c r="W220" s="114" t="n">
        <x:f>'Scenarios'!$E$52</x:f>
        <x:v>1000</x:v>
      </x:c>
      <x:c r="X220" s="114" t="n">
        <x:f>'Scenarios'!$E$52</x:f>
        <x:v>1000</x:v>
      </x:c>
      <x:c r="Y220" s="114" t="n">
        <x:f>'Scenarios'!$E$52</x:f>
        <x:v>1000</x:v>
      </x:c>
      <x:c r="Z220" s="114" t="n">
        <x:f>'Scenarios'!$E$52</x:f>
        <x:v>1000</x:v>
      </x:c>
      <x:c r="AA220" s="114" t="n">
        <x:f>'Scenarios'!$E$52</x:f>
        <x:v>1000</x:v>
      </x:c>
      <x:c r="AB220" s="114" t="n">
        <x:f>'Scenarios'!$E$52</x:f>
        <x:v>1000</x:v>
      </x:c>
      <x:c r="AC220" s="114" t="n">
        <x:f>'Scenarios'!$E$52</x:f>
        <x:v>1000</x:v>
      </x:c>
      <x:c r="AD220" s="114" t="n">
        <x:f>'Scenarios'!$E$52</x:f>
        <x:v>1000</x:v>
      </x:c>
      <x:c r="AE220" s="114" t="n">
        <x:f>'Scenarios'!$E$52</x:f>
        <x:v>1000</x:v>
      </x:c>
      <x:c r="AF220" s="114" t="n">
        <x:f>'Scenarios'!$E$52</x:f>
        <x:v>1000</x:v>
      </x:c>
      <x:c r="AG220" s="114" t="n">
        <x:f>'Scenarios'!$E$52</x:f>
        <x:v>1000</x:v>
      </x:c>
      <x:c r="AH220" s="114" t="n">
        <x:f>'Scenarios'!$E$52</x:f>
        <x:v>1000</x:v>
      </x:c>
      <x:c r="AI220" s="114" t="n">
        <x:f>'Scenarios'!$E$52</x:f>
        <x:v>1000</x:v>
      </x:c>
      <x:c r="AJ220" s="114" t="n">
        <x:f>'Scenarios'!$E$52</x:f>
        <x:v>1000</x:v>
      </x:c>
      <x:c r="AK220" s="114" t="n">
        <x:f>'Scenarios'!$E$52</x:f>
        <x:v>1000</x:v>
      </x:c>
      <x:c r="AL220" s="114" t="n">
        <x:f>'Scenarios'!$E$52</x:f>
        <x:v>1000</x:v>
      </x:c>
    </x:row>
    <x:row r="221">
      <x:c r="A221" s="84" t="str">
        <x:v>Other operating expense</x:v>
      </x:c>
      <x:c r="B221" s="84" t="str">
        <x:v>$</x:v>
      </x:c>
      <x:c r="C221" s="114" t="n">
        <x:f>'Scenarios'!$E$53</x:f>
        <x:v>750</x:v>
      </x:c>
      <x:c r="D221" s="114" t="n">
        <x:f>'Scenarios'!$E$53</x:f>
        <x:v>750</x:v>
      </x:c>
      <x:c r="E221" s="114" t="n">
        <x:f>'Scenarios'!$E$53</x:f>
        <x:v>750</x:v>
      </x:c>
      <x:c r="F221" s="114" t="n">
        <x:f>'Scenarios'!$E$53</x:f>
        <x:v>750</x:v>
      </x:c>
      <x:c r="G221" s="114" t="n">
        <x:f>'Scenarios'!$E$53</x:f>
        <x:v>750</x:v>
      </x:c>
      <x:c r="H221" s="114" t="n">
        <x:f>'Scenarios'!$E$53</x:f>
        <x:v>750</x:v>
      </x:c>
      <x:c r="I221" s="114" t="n">
        <x:f>'Scenarios'!$E$53</x:f>
        <x:v>750</x:v>
      </x:c>
      <x:c r="J221" s="114" t="n">
        <x:f>'Scenarios'!$E$53</x:f>
        <x:v>750</x:v>
      </x:c>
      <x:c r="K221" s="114" t="n">
        <x:f>'Scenarios'!$E$53</x:f>
        <x:v>750</x:v>
      </x:c>
      <x:c r="L221" s="114" t="n">
        <x:f>'Scenarios'!$E$53</x:f>
        <x:v>750</x:v>
      </x:c>
      <x:c r="M221" s="114" t="n">
        <x:f>'Scenarios'!$E$53</x:f>
        <x:v>750</x:v>
      </x:c>
      <x:c r="N221" s="114" t="n">
        <x:f>'Scenarios'!$E$53</x:f>
        <x:v>750</x:v>
      </x:c>
      <x:c r="O221" s="114" t="n">
        <x:f>'Scenarios'!$E$53</x:f>
        <x:v>750</x:v>
      </x:c>
      <x:c r="P221" s="114" t="n">
        <x:f>'Scenarios'!$E$53</x:f>
        <x:v>750</x:v>
      </x:c>
      <x:c r="Q221" s="114" t="n">
        <x:f>'Scenarios'!$E$53</x:f>
        <x:v>750</x:v>
      </x:c>
      <x:c r="R221" s="114" t="n">
        <x:f>'Scenarios'!$E$53</x:f>
        <x:v>750</x:v>
      </x:c>
      <x:c r="S221" s="114" t="n">
        <x:f>'Scenarios'!$E$53</x:f>
        <x:v>750</x:v>
      </x:c>
      <x:c r="T221" s="114" t="n">
        <x:f>'Scenarios'!$E$53</x:f>
        <x:v>750</x:v>
      </x:c>
      <x:c r="U221" s="114" t="n">
        <x:f>'Scenarios'!$E$53</x:f>
        <x:v>750</x:v>
      </x:c>
      <x:c r="V221" s="114" t="n">
        <x:f>'Scenarios'!$E$53</x:f>
        <x:v>750</x:v>
      </x:c>
      <x:c r="W221" s="114" t="n">
        <x:f>'Scenarios'!$E$53</x:f>
        <x:v>750</x:v>
      </x:c>
      <x:c r="X221" s="114" t="n">
        <x:f>'Scenarios'!$E$53</x:f>
        <x:v>750</x:v>
      </x:c>
      <x:c r="Y221" s="114" t="n">
        <x:f>'Scenarios'!$E$53</x:f>
        <x:v>750</x:v>
      </x:c>
      <x:c r="Z221" s="114" t="n">
        <x:f>'Scenarios'!$E$53</x:f>
        <x:v>750</x:v>
      </x:c>
      <x:c r="AA221" s="114" t="n">
        <x:f>'Scenarios'!$E$53</x:f>
        <x:v>750</x:v>
      </x:c>
      <x:c r="AB221" s="114" t="n">
        <x:f>'Scenarios'!$E$53</x:f>
        <x:v>750</x:v>
      </x:c>
      <x:c r="AC221" s="114" t="n">
        <x:f>'Scenarios'!$E$53</x:f>
        <x:v>750</x:v>
      </x:c>
      <x:c r="AD221" s="114" t="n">
        <x:f>'Scenarios'!$E$53</x:f>
        <x:v>750</x:v>
      </x:c>
      <x:c r="AE221" s="114" t="n">
        <x:f>'Scenarios'!$E$53</x:f>
        <x:v>750</x:v>
      </x:c>
      <x:c r="AF221" s="114" t="n">
        <x:f>'Scenarios'!$E$53</x:f>
        <x:v>750</x:v>
      </x:c>
      <x:c r="AG221" s="114" t="n">
        <x:f>'Scenarios'!$E$53</x:f>
        <x:v>750</x:v>
      </x:c>
      <x:c r="AH221" s="114" t="n">
        <x:f>'Scenarios'!$E$53</x:f>
        <x:v>750</x:v>
      </x:c>
      <x:c r="AI221" s="114" t="n">
        <x:f>'Scenarios'!$E$53</x:f>
        <x:v>750</x:v>
      </x:c>
      <x:c r="AJ221" s="114" t="n">
        <x:f>'Scenarios'!$E$53</x:f>
        <x:v>750</x:v>
      </x:c>
      <x:c r="AK221" s="114" t="n">
        <x:f>'Scenarios'!$E$53</x:f>
        <x:v>750</x:v>
      </x:c>
      <x:c r="AL221" s="114" t="n">
        <x:f>'Scenarios'!$E$53</x:f>
        <x:v>750</x:v>
      </x:c>
    </x:row>
    <x:row r="222">
      <x:c r="A222" s="84" t="str">
        <x:v>Initial setup spend</x:v>
      </x:c>
      <x:c r="B222" s="84" t="str">
        <x:v>$</x:v>
      </x:c>
      <x:c r="C222" s="114" t="n">
        <x:f>IF(C166=1,'Scenarios'!$E$54,0)</x:f>
        <x:v>5000</x:v>
      </x:c>
      <x:c r="D222" s="114" t="n">
        <x:f>IF(D166=1,'Scenarios'!$E$54,0)</x:f>
        <x:v>0</x:v>
      </x:c>
      <x:c r="E222" s="114" t="n">
        <x:f>IF(E166=1,'Scenarios'!$E$54,0)</x:f>
        <x:v>0</x:v>
      </x:c>
      <x:c r="F222" s="114" t="n">
        <x:f>IF(F166=1,'Scenarios'!$E$54,0)</x:f>
        <x:v>0</x:v>
      </x:c>
      <x:c r="G222" s="114" t="n">
        <x:f>IF(G166=1,'Scenarios'!$E$54,0)</x:f>
        <x:v>0</x:v>
      </x:c>
      <x:c r="H222" s="114" t="n">
        <x:f>IF(H166=1,'Scenarios'!$E$54,0)</x:f>
        <x:v>0</x:v>
      </x:c>
      <x:c r="I222" s="114" t="n">
        <x:f>IF(I166=1,'Scenarios'!$E$54,0)</x:f>
        <x:v>0</x:v>
      </x:c>
      <x:c r="J222" s="114" t="n">
        <x:f>IF(J166=1,'Scenarios'!$E$54,0)</x:f>
        <x:v>0</x:v>
      </x:c>
      <x:c r="K222" s="114" t="n">
        <x:f>IF(K166=1,'Scenarios'!$E$54,0)</x:f>
        <x:v>0</x:v>
      </x:c>
      <x:c r="L222" s="114" t="n">
        <x:f>IF(L166=1,'Scenarios'!$E$54,0)</x:f>
        <x:v>0</x:v>
      </x:c>
      <x:c r="M222" s="114" t="n">
        <x:f>IF(M166=1,'Scenarios'!$E$54,0)</x:f>
        <x:v>0</x:v>
      </x:c>
      <x:c r="N222" s="114" t="n">
        <x:f>IF(N166=1,'Scenarios'!$E$54,0)</x:f>
        <x:v>0</x:v>
      </x:c>
      <x:c r="O222" s="114" t="n">
        <x:f>IF(O166=1,'Scenarios'!$E$54,0)</x:f>
        <x:v>0</x:v>
      </x:c>
      <x:c r="P222" s="114" t="n">
        <x:f>IF(P166=1,'Scenarios'!$E$54,0)</x:f>
        <x:v>0</x:v>
      </x:c>
      <x:c r="Q222" s="114" t="n">
        <x:f>IF(Q166=1,'Scenarios'!$E$54,0)</x:f>
        <x:v>0</x:v>
      </x:c>
      <x:c r="R222" s="114" t="n">
        <x:f>IF(R166=1,'Scenarios'!$E$54,0)</x:f>
        <x:v>0</x:v>
      </x:c>
      <x:c r="S222" s="114" t="n">
        <x:f>IF(S166=1,'Scenarios'!$E$54,0)</x:f>
        <x:v>0</x:v>
      </x:c>
      <x:c r="T222" s="114" t="n">
        <x:f>IF(T166=1,'Scenarios'!$E$54,0)</x:f>
        <x:v>0</x:v>
      </x:c>
      <x:c r="U222" s="114" t="n">
        <x:f>IF(U166=1,'Scenarios'!$E$54,0)</x:f>
        <x:v>0</x:v>
      </x:c>
      <x:c r="V222" s="114" t="n">
        <x:f>IF(V166=1,'Scenarios'!$E$54,0)</x:f>
        <x:v>0</x:v>
      </x:c>
      <x:c r="W222" s="114" t="n">
        <x:f>IF(W166=1,'Scenarios'!$E$54,0)</x:f>
        <x:v>0</x:v>
      </x:c>
      <x:c r="X222" s="114" t="n">
        <x:f>IF(X166=1,'Scenarios'!$E$54,0)</x:f>
        <x:v>0</x:v>
      </x:c>
      <x:c r="Y222" s="114" t="n">
        <x:f>IF(Y166=1,'Scenarios'!$E$54,0)</x:f>
        <x:v>0</x:v>
      </x:c>
      <x:c r="Z222" s="114" t="n">
        <x:f>IF(Z166=1,'Scenarios'!$E$54,0)</x:f>
        <x:v>0</x:v>
      </x:c>
      <x:c r="AA222" s="114" t="n">
        <x:f>IF(AA166=1,'Scenarios'!$E$54,0)</x:f>
        <x:v>0</x:v>
      </x:c>
      <x:c r="AB222" s="114" t="n">
        <x:f>IF(AB166=1,'Scenarios'!$E$54,0)</x:f>
        <x:v>0</x:v>
      </x:c>
      <x:c r="AC222" s="114" t="n">
        <x:f>IF(AC166=1,'Scenarios'!$E$54,0)</x:f>
        <x:v>0</x:v>
      </x:c>
      <x:c r="AD222" s="114" t="n">
        <x:f>IF(AD166=1,'Scenarios'!$E$54,0)</x:f>
        <x:v>0</x:v>
      </x:c>
      <x:c r="AE222" s="114" t="n">
        <x:f>IF(AE166=1,'Scenarios'!$E$54,0)</x:f>
        <x:v>0</x:v>
      </x:c>
      <x:c r="AF222" s="114" t="n">
        <x:f>IF(AF166=1,'Scenarios'!$E$54,0)</x:f>
        <x:v>0</x:v>
      </x:c>
      <x:c r="AG222" s="114" t="n">
        <x:f>IF(AG166=1,'Scenarios'!$E$54,0)</x:f>
        <x:v>0</x:v>
      </x:c>
      <x:c r="AH222" s="114" t="n">
        <x:f>IF(AH166=1,'Scenarios'!$E$54,0)</x:f>
        <x:v>0</x:v>
      </x:c>
      <x:c r="AI222" s="114" t="n">
        <x:f>IF(AI166=1,'Scenarios'!$E$54,0)</x:f>
        <x:v>0</x:v>
      </x:c>
      <x:c r="AJ222" s="114" t="n">
        <x:f>IF(AJ166=1,'Scenarios'!$E$54,0)</x:f>
        <x:v>0</x:v>
      </x:c>
      <x:c r="AK222" s="114" t="n">
        <x:f>IF(AK166=1,'Scenarios'!$E$54,0)</x:f>
        <x:v>0</x:v>
      </x:c>
      <x:c r="AL222" s="114" t="n">
        <x:f>IF(AL166=1,'Scenarios'!$E$54,0)</x:f>
        <x:v>0</x:v>
      </x:c>
    </x:row>
    <x:row r="223">
      <x:c r="A223" s="84" t="str">
        <x:v>Production-readiness spend</x:v>
      </x:c>
      <x:c r="B223" s="84" t="str">
        <x:v>$</x:v>
      </x:c>
      <x:c r="C223" s="114" t="n">
        <x:f>IF(C166='Scenarios'!$E$56,'Scenarios'!$E$55,0)</x:f>
        <x:v>0</x:v>
      </x:c>
      <x:c r="D223" s="114" t="n">
        <x:f>IF(D166='Scenarios'!$E$56,'Scenarios'!$E$55,0)</x:f>
        <x:v>0</x:v>
      </x:c>
      <x:c r="E223" s="114" t="n">
        <x:f>IF(E166='Scenarios'!$E$56,'Scenarios'!$E$55,0)</x:f>
        <x:v>0</x:v>
      </x:c>
      <x:c r="F223" s="114" t="n">
        <x:f>IF(F166='Scenarios'!$E$56,'Scenarios'!$E$55,0)</x:f>
        <x:v>0</x:v>
      </x:c>
      <x:c r="G223" s="114" t="n">
        <x:f>IF(G166='Scenarios'!$E$56,'Scenarios'!$E$55,0)</x:f>
        <x:v>0</x:v>
      </x:c>
      <x:c r="H223" s="114" t="n">
        <x:f>IF(H166='Scenarios'!$E$56,'Scenarios'!$E$55,0)</x:f>
        <x:v>0</x:v>
      </x:c>
      <x:c r="I223" s="114" t="n">
        <x:f>IF(I166='Scenarios'!$E$56,'Scenarios'!$E$55,0)</x:f>
        <x:v>15000</x:v>
      </x:c>
      <x:c r="J223" s="114" t="n">
        <x:f>IF(J166='Scenarios'!$E$56,'Scenarios'!$E$55,0)</x:f>
        <x:v>0</x:v>
      </x:c>
      <x:c r="K223" s="114" t="n">
        <x:f>IF(K166='Scenarios'!$E$56,'Scenarios'!$E$55,0)</x:f>
        <x:v>0</x:v>
      </x:c>
      <x:c r="L223" s="114" t="n">
        <x:f>IF(L166='Scenarios'!$E$56,'Scenarios'!$E$55,0)</x:f>
        <x:v>0</x:v>
      </x:c>
      <x:c r="M223" s="114" t="n">
        <x:f>IF(M166='Scenarios'!$E$56,'Scenarios'!$E$55,0)</x:f>
        <x:v>0</x:v>
      </x:c>
      <x:c r="N223" s="114" t="n">
        <x:f>IF(N166='Scenarios'!$E$56,'Scenarios'!$E$55,0)</x:f>
        <x:v>0</x:v>
      </x:c>
      <x:c r="O223" s="114" t="n">
        <x:f>IF(O166='Scenarios'!$E$56,'Scenarios'!$E$55,0)</x:f>
        <x:v>0</x:v>
      </x:c>
      <x:c r="P223" s="114" t="n">
        <x:f>IF(P166='Scenarios'!$E$56,'Scenarios'!$E$55,0)</x:f>
        <x:v>0</x:v>
      </x:c>
      <x:c r="Q223" s="114" t="n">
        <x:f>IF(Q166='Scenarios'!$E$56,'Scenarios'!$E$55,0)</x:f>
        <x:v>0</x:v>
      </x:c>
      <x:c r="R223" s="114" t="n">
        <x:f>IF(R166='Scenarios'!$E$56,'Scenarios'!$E$55,0)</x:f>
        <x:v>0</x:v>
      </x:c>
      <x:c r="S223" s="114" t="n">
        <x:f>IF(S166='Scenarios'!$E$56,'Scenarios'!$E$55,0)</x:f>
        <x:v>0</x:v>
      </x:c>
      <x:c r="T223" s="114" t="n">
        <x:f>IF(T166='Scenarios'!$E$56,'Scenarios'!$E$55,0)</x:f>
        <x:v>0</x:v>
      </x:c>
      <x:c r="U223" s="114" t="n">
        <x:f>IF(U166='Scenarios'!$E$56,'Scenarios'!$E$55,0)</x:f>
        <x:v>0</x:v>
      </x:c>
      <x:c r="V223" s="114" t="n">
        <x:f>IF(V166='Scenarios'!$E$56,'Scenarios'!$E$55,0)</x:f>
        <x:v>0</x:v>
      </x:c>
      <x:c r="W223" s="114" t="n">
        <x:f>IF(W166='Scenarios'!$E$56,'Scenarios'!$E$55,0)</x:f>
        <x:v>0</x:v>
      </x:c>
      <x:c r="X223" s="114" t="n">
        <x:f>IF(X166='Scenarios'!$E$56,'Scenarios'!$E$55,0)</x:f>
        <x:v>0</x:v>
      </x:c>
      <x:c r="Y223" s="114" t="n">
        <x:f>IF(Y166='Scenarios'!$E$56,'Scenarios'!$E$55,0)</x:f>
        <x:v>0</x:v>
      </x:c>
      <x:c r="Z223" s="114" t="n">
        <x:f>IF(Z166='Scenarios'!$E$56,'Scenarios'!$E$55,0)</x:f>
        <x:v>0</x:v>
      </x:c>
      <x:c r="AA223" s="114" t="n">
        <x:f>IF(AA166='Scenarios'!$E$56,'Scenarios'!$E$55,0)</x:f>
        <x:v>0</x:v>
      </x:c>
      <x:c r="AB223" s="114" t="n">
        <x:f>IF(AB166='Scenarios'!$E$56,'Scenarios'!$E$55,0)</x:f>
        <x:v>0</x:v>
      </x:c>
      <x:c r="AC223" s="114" t="n">
        <x:f>IF(AC166='Scenarios'!$E$56,'Scenarios'!$E$55,0)</x:f>
        <x:v>0</x:v>
      </x:c>
      <x:c r="AD223" s="114" t="n">
        <x:f>IF(AD166='Scenarios'!$E$56,'Scenarios'!$E$55,0)</x:f>
        <x:v>0</x:v>
      </x:c>
      <x:c r="AE223" s="114" t="n">
        <x:f>IF(AE166='Scenarios'!$E$56,'Scenarios'!$E$55,0)</x:f>
        <x:v>0</x:v>
      </x:c>
      <x:c r="AF223" s="114" t="n">
        <x:f>IF(AF166='Scenarios'!$E$56,'Scenarios'!$E$55,0)</x:f>
        <x:v>0</x:v>
      </x:c>
      <x:c r="AG223" s="114" t="n">
        <x:f>IF(AG166='Scenarios'!$E$56,'Scenarios'!$E$55,0)</x:f>
        <x:v>0</x:v>
      </x:c>
      <x:c r="AH223" s="114" t="n">
        <x:f>IF(AH166='Scenarios'!$E$56,'Scenarios'!$E$55,0)</x:f>
        <x:v>0</x:v>
      </x:c>
      <x:c r="AI223" s="114" t="n">
        <x:f>IF(AI166='Scenarios'!$E$56,'Scenarios'!$E$55,0)</x:f>
        <x:v>0</x:v>
      </x:c>
      <x:c r="AJ223" s="114" t="n">
        <x:f>IF(AJ166='Scenarios'!$E$56,'Scenarios'!$E$55,0)</x:f>
        <x:v>0</x:v>
      </x:c>
      <x:c r="AK223" s="114" t="n">
        <x:f>IF(AK166='Scenarios'!$E$56,'Scenarios'!$E$55,0)</x:f>
        <x:v>0</x:v>
      </x:c>
      <x:c r="AL223" s="114" t="n">
        <x:f>IF(AL166='Scenarios'!$E$56,'Scenarios'!$E$55,0)</x:f>
        <x:v>0</x:v>
      </x:c>
    </x:row>
    <x:row r="224">
      <x:c r="A224" s="84" t="str">
        <x:v>Repeatable-delivery spend</x:v>
      </x:c>
      <x:c r="B224" s="84" t="str">
        <x:v>$</x:v>
      </x:c>
      <x:c r="C224" s="114" t="n">
        <x:f>IF(C166='Scenarios'!$E$58,'Scenarios'!$E$57,0)</x:f>
        <x:v>0</x:v>
      </x:c>
      <x:c r="D224" s="114" t="n">
        <x:f>IF(D166='Scenarios'!$E$58,'Scenarios'!$E$57,0)</x:f>
        <x:v>0</x:v>
      </x:c>
      <x:c r="E224" s="114" t="n">
        <x:f>IF(E166='Scenarios'!$E$58,'Scenarios'!$E$57,0)</x:f>
        <x:v>0</x:v>
      </x:c>
      <x:c r="F224" s="114" t="n">
        <x:f>IF(F166='Scenarios'!$E$58,'Scenarios'!$E$57,0)</x:f>
        <x:v>0</x:v>
      </x:c>
      <x:c r="G224" s="114" t="n">
        <x:f>IF(G166='Scenarios'!$E$58,'Scenarios'!$E$57,0)</x:f>
        <x:v>0</x:v>
      </x:c>
      <x:c r="H224" s="114" t="n">
        <x:f>IF(H166='Scenarios'!$E$58,'Scenarios'!$E$57,0)</x:f>
        <x:v>0</x:v>
      </x:c>
      <x:c r="I224" s="114" t="n">
        <x:f>IF(I166='Scenarios'!$E$58,'Scenarios'!$E$57,0)</x:f>
        <x:v>0</x:v>
      </x:c>
      <x:c r="J224" s="114" t="n">
        <x:f>IF(J166='Scenarios'!$E$58,'Scenarios'!$E$57,0)</x:f>
        <x:v>0</x:v>
      </x:c>
      <x:c r="K224" s="114" t="n">
        <x:f>IF(K166='Scenarios'!$E$58,'Scenarios'!$E$57,0)</x:f>
        <x:v>0</x:v>
      </x:c>
      <x:c r="L224" s="114" t="n">
        <x:f>IF(L166='Scenarios'!$E$58,'Scenarios'!$E$57,0)</x:f>
        <x:v>0</x:v>
      </x:c>
      <x:c r="M224" s="114" t="n">
        <x:f>IF(M166='Scenarios'!$E$58,'Scenarios'!$E$57,0)</x:f>
        <x:v>0</x:v>
      </x:c>
      <x:c r="N224" s="114" t="n">
        <x:f>IF(N166='Scenarios'!$E$58,'Scenarios'!$E$57,0)</x:f>
        <x:v>30000</x:v>
      </x:c>
      <x:c r="O224" s="114" t="n">
        <x:f>IF(O166='Scenarios'!$E$58,'Scenarios'!$E$57,0)</x:f>
        <x:v>0</x:v>
      </x:c>
      <x:c r="P224" s="114" t="n">
        <x:f>IF(P166='Scenarios'!$E$58,'Scenarios'!$E$57,0)</x:f>
        <x:v>0</x:v>
      </x:c>
      <x:c r="Q224" s="114" t="n">
        <x:f>IF(Q166='Scenarios'!$E$58,'Scenarios'!$E$57,0)</x:f>
        <x:v>0</x:v>
      </x:c>
      <x:c r="R224" s="114" t="n">
        <x:f>IF(R166='Scenarios'!$E$58,'Scenarios'!$E$57,0)</x:f>
        <x:v>0</x:v>
      </x:c>
      <x:c r="S224" s="114" t="n">
        <x:f>IF(S166='Scenarios'!$E$58,'Scenarios'!$E$57,0)</x:f>
        <x:v>0</x:v>
      </x:c>
      <x:c r="T224" s="114" t="n">
        <x:f>IF(T166='Scenarios'!$E$58,'Scenarios'!$E$57,0)</x:f>
        <x:v>0</x:v>
      </x:c>
      <x:c r="U224" s="114" t="n">
        <x:f>IF(U166='Scenarios'!$E$58,'Scenarios'!$E$57,0)</x:f>
        <x:v>0</x:v>
      </x:c>
      <x:c r="V224" s="114" t="n">
        <x:f>IF(V166='Scenarios'!$E$58,'Scenarios'!$E$57,0)</x:f>
        <x:v>0</x:v>
      </x:c>
      <x:c r="W224" s="114" t="n">
        <x:f>IF(W166='Scenarios'!$E$58,'Scenarios'!$E$57,0)</x:f>
        <x:v>0</x:v>
      </x:c>
      <x:c r="X224" s="114" t="n">
        <x:f>IF(X166='Scenarios'!$E$58,'Scenarios'!$E$57,0)</x:f>
        <x:v>0</x:v>
      </x:c>
      <x:c r="Y224" s="114" t="n">
        <x:f>IF(Y166='Scenarios'!$E$58,'Scenarios'!$E$57,0)</x:f>
        <x:v>0</x:v>
      </x:c>
      <x:c r="Z224" s="114" t="n">
        <x:f>IF(Z166='Scenarios'!$E$58,'Scenarios'!$E$57,0)</x:f>
        <x:v>0</x:v>
      </x:c>
      <x:c r="AA224" s="114" t="n">
        <x:f>IF(AA166='Scenarios'!$E$58,'Scenarios'!$E$57,0)</x:f>
        <x:v>0</x:v>
      </x:c>
      <x:c r="AB224" s="114" t="n">
        <x:f>IF(AB166='Scenarios'!$E$58,'Scenarios'!$E$57,0)</x:f>
        <x:v>0</x:v>
      </x:c>
      <x:c r="AC224" s="114" t="n">
        <x:f>IF(AC166='Scenarios'!$E$58,'Scenarios'!$E$57,0)</x:f>
        <x:v>0</x:v>
      </x:c>
      <x:c r="AD224" s="114" t="n">
        <x:f>IF(AD166='Scenarios'!$E$58,'Scenarios'!$E$57,0)</x:f>
        <x:v>0</x:v>
      </x:c>
      <x:c r="AE224" s="114" t="n">
        <x:f>IF(AE166='Scenarios'!$E$58,'Scenarios'!$E$57,0)</x:f>
        <x:v>0</x:v>
      </x:c>
      <x:c r="AF224" s="114" t="n">
        <x:f>IF(AF166='Scenarios'!$E$58,'Scenarios'!$E$57,0)</x:f>
        <x:v>0</x:v>
      </x:c>
      <x:c r="AG224" s="114" t="n">
        <x:f>IF(AG166='Scenarios'!$E$58,'Scenarios'!$E$57,0)</x:f>
        <x:v>0</x:v>
      </x:c>
      <x:c r="AH224" s="114" t="n">
        <x:f>IF(AH166='Scenarios'!$E$58,'Scenarios'!$E$57,0)</x:f>
        <x:v>0</x:v>
      </x:c>
      <x:c r="AI224" s="114" t="n">
        <x:f>IF(AI166='Scenarios'!$E$58,'Scenarios'!$E$57,0)</x:f>
        <x:v>0</x:v>
      </x:c>
      <x:c r="AJ224" s="114" t="n">
        <x:f>IF(AJ166='Scenarios'!$E$58,'Scenarios'!$E$57,0)</x:f>
        <x:v>0</x:v>
      </x:c>
      <x:c r="AK224" s="114" t="n">
        <x:f>IF(AK166='Scenarios'!$E$58,'Scenarios'!$E$57,0)</x:f>
        <x:v>0</x:v>
      </x:c>
      <x:c r="AL224" s="114" t="n">
        <x:f>IF(AL166='Scenarios'!$E$58,'Scenarios'!$E$57,0)</x:f>
        <x:v>0</x:v>
      </x:c>
    </x:row>
    <x:row r="225">
      <x:c r="A225" s="84" t="str">
        <x:v>Total cash operating expense</x:v>
      </x:c>
      <x:c r="B225" s="84" t="str">
        <x:v>$</x:v>
      </x:c>
      <x:c r="C225" s="114" t="n">
        <x:f>SUM(C216,C218:C224)</x:f>
        <x:v>10250</x:v>
      </x:c>
      <x:c r="D225" s="114" t="n">
        <x:f>SUM(D216,D218:D224)</x:f>
        <x:v>5250</x:v>
      </x:c>
      <x:c r="E225" s="114" t="n">
        <x:f>SUM(E216,E218:E224)</x:f>
        <x:v>5250</x:v>
      </x:c>
      <x:c r="F225" s="114" t="n">
        <x:f>SUM(F216,F218:F224)</x:f>
        <x:v>5250</x:v>
      </x:c>
      <x:c r="G225" s="114" t="n">
        <x:f>SUM(G216,G218:G224)</x:f>
        <x:v>5250</x:v>
      </x:c>
      <x:c r="H225" s="114" t="n">
        <x:f>SUM(H216,H218:H224)</x:f>
        <x:v>5250</x:v>
      </x:c>
      <x:c r="I225" s="114" t="n">
        <x:f>SUM(I216,I218:I224)</x:f>
        <x:v>24250</x:v>
      </x:c>
      <x:c r="J225" s="114" t="n">
        <x:f>SUM(J216,J218:J224)</x:f>
        <x:v>9250</x:v>
      </x:c>
      <x:c r="K225" s="114" t="n">
        <x:f>SUM(K216,K218:K224)</x:f>
        <x:v>9250</x:v>
      </x:c>
      <x:c r="L225" s="114" t="n">
        <x:f>SUM(L216,L218:L224)</x:f>
        <x:v>9250</x:v>
      </x:c>
      <x:c r="M225" s="114" t="n">
        <x:f>SUM(M216,M218:M224)</x:f>
        <x:v>9250</x:v>
      </x:c>
      <x:c r="N225" s="114" t="n">
        <x:f>SUM(N216,N218:N224)</x:f>
        <x:v>39250</x:v>
      </x:c>
      <x:c r="O225" s="114" t="n">
        <x:f>SUM(O216,O218:O224)</x:f>
        <x:v>9250</x:v>
      </x:c>
      <x:c r="P225" s="114" t="n">
        <x:f>SUM(P216,P218:P224)</x:f>
        <x:v>9250</x:v>
      </x:c>
      <x:c r="Q225" s="114" t="n">
        <x:f>SUM(Q216,Q218:Q224)</x:f>
        <x:v>9250</x:v>
      </x:c>
      <x:c r="R225" s="114" t="n">
        <x:f>SUM(R216,R218:R224)</x:f>
        <x:v>9250</x:v>
      </x:c>
      <x:c r="S225" s="114" t="n">
        <x:f>SUM(S216,S218:S224)</x:f>
        <x:v>9250</x:v>
      </x:c>
      <x:c r="T225" s="114" t="n">
        <x:f>SUM(T216,T218:T224)</x:f>
        <x:v>9250</x:v>
      </x:c>
      <x:c r="U225" s="114" t="n">
        <x:f>SUM(U216,U218:U224)</x:f>
        <x:v>9250</x:v>
      </x:c>
      <x:c r="V225" s="114" t="n">
        <x:f>SUM(V216,V218:V224)</x:f>
        <x:v>9250</x:v>
      </x:c>
      <x:c r="W225" s="114" t="n">
        <x:f>SUM(W216,W218:W224)</x:f>
        <x:v>9250</x:v>
      </x:c>
      <x:c r="X225" s="114" t="n">
        <x:f>SUM(X216,X218:X224)</x:f>
        <x:v>9250</x:v>
      </x:c>
      <x:c r="Y225" s="114" t="n">
        <x:f>SUM(Y216,Y218:Y224)</x:f>
        <x:v>9250</x:v>
      </x:c>
      <x:c r="Z225" s="114" t="n">
        <x:f>SUM(Z216,Z218:Z224)</x:f>
        <x:v>9250</x:v>
      </x:c>
      <x:c r="AA225" s="114" t="n">
        <x:f>SUM(AA216,AA218:AA224)</x:f>
        <x:v>9250</x:v>
      </x:c>
      <x:c r="AB225" s="114" t="n">
        <x:f>SUM(AB216,AB218:AB224)</x:f>
        <x:v>9250</x:v>
      </x:c>
      <x:c r="AC225" s="114" t="n">
        <x:f>SUM(AC216,AC218:AC224)</x:f>
        <x:v>9250</x:v>
      </x:c>
      <x:c r="AD225" s="114" t="n">
        <x:f>SUM(AD216,AD218:AD224)</x:f>
        <x:v>9250</x:v>
      </x:c>
      <x:c r="AE225" s="114" t="n">
        <x:f>SUM(AE216,AE218:AE224)</x:f>
        <x:v>9250</x:v>
      </x:c>
      <x:c r="AF225" s="114" t="n">
        <x:f>SUM(AF216,AF218:AF224)</x:f>
        <x:v>9250</x:v>
      </x:c>
      <x:c r="AG225" s="114" t="n">
        <x:f>SUM(AG216,AG218:AG224)</x:f>
        <x:v>9250</x:v>
      </x:c>
      <x:c r="AH225" s="114" t="n">
        <x:f>SUM(AH216,AH218:AH224)</x:f>
        <x:v>9250</x:v>
      </x:c>
      <x:c r="AI225" s="114" t="n">
        <x:f>SUM(AI216,AI218:AI224)</x:f>
        <x:v>9250</x:v>
      </x:c>
      <x:c r="AJ225" s="114" t="n">
        <x:f>SUM(AJ216,AJ218:AJ224)</x:f>
        <x:v>9250</x:v>
      </x:c>
      <x:c r="AK225" s="114" t="n">
        <x:f>SUM(AK216,AK218:AK224)</x:f>
        <x:v>9250</x:v>
      </x:c>
      <x:c r="AL225" s="114" t="n">
        <x:f>SUM(AL216,AL218:AL224)</x:f>
        <x:v>9250</x:v>
      </x:c>
    </x:row>
    <x:row r="226">
      <x:c r="A226" s="84" t="str">
        <x:v>Total normalized operating expense</x:v>
      </x:c>
      <x:c r="B226" s="84" t="str">
        <x:v>$</x:v>
      </x:c>
      <x:c r="C226" s="114" t="n">
        <x:f>C225-C216+C217</x:f>
        <x:v>20160.020833333336</x:v>
      </x:c>
      <x:c r="D226" s="114" t="n">
        <x:f>D225-D216+D217</x:f>
        <x:v>13465.758333333333</x:v>
      </x:c>
      <x:c r="E226" s="114" t="n">
        <x:f>E225-E216+E217</x:f>
        <x:v>12962.421182291666</x:v>
      </x:c>
      <x:c r="F226" s="114" t="n">
        <x:f>F225-F216+F217</x:f>
        <x:v>12218.679902760417</x:v>
      </x:c>
      <x:c r="G226" s="114" t="n">
        <x:f>G225-G216+G217</x:f>
        <x:v>10890.871661024481</x:v>
      </x:c>
      <x:c r="H226" s="114" t="n">
        <x:f>H225-H216+H217</x:f>
        <x:v>10154.571798580902</x:v>
      </x:c>
      <x:c r="I226" s="114" t="n">
        <x:f>I225-I216+I217</x:f>
        <x:v>24583.333333333336</x:v>
      </x:c>
      <x:c r="J226" s="114" t="n">
        <x:f>J225-J216+J217</x:f>
        <x:v>9583.333333333334</x:v>
      </x:c>
      <x:c r="K226" s="114" t="n">
        <x:f>K225-K216+K217</x:f>
        <x:v>9583.333333333334</x:v>
      </x:c>
      <x:c r="L226" s="114" t="n">
        <x:f>L225-L216+L217</x:f>
        <x:v>9583.333333333334</x:v>
      </x:c>
      <x:c r="M226" s="114" t="n">
        <x:f>M225-M216+M217</x:f>
        <x:v>9583.333333333334</x:v>
      </x:c>
      <x:c r="N226" s="114" t="n">
        <x:f>N225-N216+N217</x:f>
        <x:v>39583.333333333336</x:v>
      </x:c>
      <x:c r="O226" s="114" t="n">
        <x:f>O225-O216+O217</x:f>
        <x:v>9583.333333333334</x:v>
      </x:c>
      <x:c r="P226" s="114" t="n">
        <x:f>P225-P216+P217</x:f>
        <x:v>9583.333333333334</x:v>
      </x:c>
      <x:c r="Q226" s="114" t="n">
        <x:f>Q225-Q216+Q217</x:f>
        <x:v>9583.333333333334</x:v>
      </x:c>
      <x:c r="R226" s="114" t="n">
        <x:f>R225-R216+R217</x:f>
        <x:v>9583.333333333334</x:v>
      </x:c>
      <x:c r="S226" s="114" t="n">
        <x:f>S225-S216+S217</x:f>
        <x:v>9583.333333333334</x:v>
      </x:c>
      <x:c r="T226" s="114" t="n">
        <x:f>T225-T216+T217</x:f>
        <x:v>9583.333333333334</x:v>
      </x:c>
      <x:c r="U226" s="114" t="n">
        <x:f>U225-U216+U217</x:f>
        <x:v>9583.333333333334</x:v>
      </x:c>
      <x:c r="V226" s="114" t="n">
        <x:f>V225-V216+V217</x:f>
        <x:v>9583.333333333334</x:v>
      </x:c>
      <x:c r="W226" s="114" t="n">
        <x:f>W225-W216+W217</x:f>
        <x:v>9583.333333333334</x:v>
      </x:c>
      <x:c r="X226" s="114" t="n">
        <x:f>X225-X216+X217</x:f>
        <x:v>9583.333333333334</x:v>
      </x:c>
      <x:c r="Y226" s="114" t="n">
        <x:f>Y225-Y216+Y217</x:f>
        <x:v>9583.333333333334</x:v>
      </x:c>
      <x:c r="Z226" s="114" t="n">
        <x:f>Z225-Z216+Z217</x:f>
        <x:v>9583.333333333334</x:v>
      </x:c>
      <x:c r="AA226" s="114" t="n">
        <x:f>AA225-AA216+AA217</x:f>
        <x:v>9583.333333333334</x:v>
      </x:c>
      <x:c r="AB226" s="114" t="n">
        <x:f>AB225-AB216+AB217</x:f>
        <x:v>9583.333333333334</x:v>
      </x:c>
      <x:c r="AC226" s="114" t="n">
        <x:f>AC225-AC216+AC217</x:f>
        <x:v>9583.333333333334</x:v>
      </x:c>
      <x:c r="AD226" s="114" t="n">
        <x:f>AD225-AD216+AD217</x:f>
        <x:v>9583.333333333334</x:v>
      </x:c>
      <x:c r="AE226" s="114" t="n">
        <x:f>AE225-AE216+AE217</x:f>
        <x:v>9583.333333333334</x:v>
      </x:c>
      <x:c r="AF226" s="114" t="n">
        <x:f>AF225-AF216+AF217</x:f>
        <x:v>9583.333333333334</x:v>
      </x:c>
      <x:c r="AG226" s="114" t="n">
        <x:f>AG225-AG216+AG217</x:f>
        <x:v>9583.333333333334</x:v>
      </x:c>
      <x:c r="AH226" s="114" t="n">
        <x:f>AH225-AH216+AH217</x:f>
        <x:v>9583.333333333334</x:v>
      </x:c>
      <x:c r="AI226" s="114" t="n">
        <x:f>AI225-AI216+AI217</x:f>
        <x:v>9583.333333333334</x:v>
      </x:c>
      <x:c r="AJ226" s="114" t="n">
        <x:f>AJ225-AJ216+AJ217</x:f>
        <x:v>9583.333333333334</x:v>
      </x:c>
      <x:c r="AK226" s="114" t="n">
        <x:f>AK225-AK216+AK217</x:f>
        <x:v>9583.333333333334</x:v>
      </x:c>
      <x:c r="AL226" s="114" t="n">
        <x:f>AL225-AL216+AL217</x:f>
        <x:v>9583.333333333334</x:v>
      </x:c>
    </x:row>
    <x:row r="227">
      <x:c r="A227" s="84" t="str">
        <x:v>Cash operating profit / (loss)</x:v>
      </x:c>
      <x:c r="B227" s="84" t="str">
        <x:v>$</x:v>
      </x:c>
      <x:c r="C227" s="114" t="n">
        <x:f>C211-C225</x:f>
        <x:v>-6932.07525</x:v>
      </x:c>
      <x:c r="D227" s="114" t="n">
        <x:f>D211-D225</x:f>
        <x:v>2780.523514999999</x:v>
      </x:c>
      <x:c r="E227" s="114" t="n">
        <x:f>E211-E225</x:f>
        <x:v>4978.340064862499</x:v>
      </x:c>
      <x:c r="F227" s="114" t="n">
        <x:f>F211-F225</x:f>
        <x:v>7943.678699226375</x:v>
      </x:c>
      <x:c r="G227" s="114" t="n">
        <x:f>G211-G225</x:f>
        <x:v>12418.889434746608</x:v>
      </x:c>
      <x:c r="H227" s="114" t="n">
        <x:f>H211-H225</x:f>
        <x:v>15633.935294149142</x:v>
      </x:c>
      <x:c r="I227" s="114" t="n">
        <x:f>I211-I225</x:f>
        <x:v>98.79191827180694</x:v>
      </x:c>
      <x:c r="J227" s="114" t="n">
        <x:f>J211-J225</x:f>
        <x:v>18762.762544505753</x:v>
      </x:c>
      <x:c r="K227" s="114" t="n">
        <x:f>K211-K225</x:f>
        <x:v>21872.335210206536</x:v>
      </x:c>
      <x:c r="L227" s="114" t="n">
        <x:f>L211-L225</x:f>
        <x:v>25649.39919722909</x:v>
      </x:c>
      <x:c r="M227" s="114" t="n">
        <x:f>M211-M225</x:f>
        <x:v>28873.949116194293</x:v>
      </x:c>
      <x:c r="N227" s="114" t="n">
        <x:f>N211-N225</x:f>
        <x:v>2066.2535359698595</x:v>
      </x:c>
      <x:c r="O227" s="114" t="n">
        <x:f>O211-O225</x:f>
        <x:v>35690.86616154767</x:v>
      </x:c>
      <x:c r="P227" s="114" t="n">
        <x:f>P211-P225</x:f>
        <x:v>40122.90109836968</x:v>
      </x:c>
      <x:c r="Q227" s="114" t="n">
        <x:f>Q211-Q225</x:f>
        <x:v>43905.246780510985</x:v>
      </x:c>
      <x:c r="R227" s="114" t="n">
        <x:f>R211-R225</x:f>
        <x:v>47649.76900583088</x:v>
      </x:c>
      <x:c r="S227" s="114" t="n">
        <x:f>S211-S225</x:f>
        <x:v>51356.84600889757</x:v>
      </x:c>
      <x:c r="T227" s="114" t="n">
        <x:f>T211-T225</x:f>
        <x:v>55026.85224193359</x:v>
      </x:c>
      <x:c r="U227" s="114" t="n">
        <x:f>U211-U225</x:f>
        <x:v>59588.620912639264</x:v>
      </x:c>
      <x:c r="V227" s="114" t="n">
        <x:f>V211-V225</x:f>
        <x:v>65691.75458646053</x:v>
      </x:c>
      <x:c r="W227" s="114" t="n">
        <x:f>W211-W225</x:f>
        <x:v>70352.03350642924</x:v>
      </x:c>
      <x:c r="X227" s="114" t="n">
        <x:f>X211-X225</x:f>
        <x:v>74965.7096371983</x:v>
      </x:c>
      <x:c r="Y227" s="114" t="n">
        <x:f>Y211-Y225</x:f>
        <x:v>79533.24900665965</x:v>
      </x:c>
      <x:c r="Z227" s="114" t="n">
        <x:f>Z211-Z225</x:f>
        <x:v>84055.11298242639</x:v>
      </x:c>
      <x:c r="AA227" s="114" t="n">
        <x:f>AA211-AA225</x:f>
        <x:v>90047.84581843544</x:v>
      </x:c>
      <x:c r="AB227" s="114" t="n">
        <x:f>AB211-AB225</x:f>
        <x:v>96833.36445108443</x:v>
      </x:c>
      <x:c r="AC227" s="114" t="n">
        <x:f>AC211-AC225</x:f>
        <x:v>102515.51138886528</x:v>
      </x:c>
      <x:c r="AD227" s="114" t="n">
        <x:f>AD211-AD225</x:f>
        <x:v>108140.8368572683</x:v>
      </x:c>
      <x:c r="AE227" s="114" t="n">
        <x:f>AE211-AE225</x:f>
        <x:v>113709.90907098727</x:v>
      </x:c>
      <x:c r="AF227" s="114" t="n">
        <x:f>AF211-AF225</x:f>
        <x:v>119223.29056256908</x:v>
      </x:c>
      <x:c r="AG227" s="114" t="n">
        <x:f>AG211-AG225</x:f>
        <x:v>124681.53823923506</x:v>
      </x:c>
      <x:c r="AH227" s="114" t="n">
        <x:f>AH211-AH225</x:f>
        <x:v>130085.20343913438</x:v>
      </x:c>
      <x:c r="AI227" s="114" t="n">
        <x:f>AI211-AI225</x:f>
        <x:v>135434.8319870347</x:v>
      </x:c>
      <x:c r="AJ227" s="114" t="n">
        <x:f>AJ211-AJ225</x:f>
        <x:v>140730.96424945598</x:v>
      </x:c>
      <x:c r="AK227" s="114" t="n">
        <x:f>AK211-AK225</x:f>
        <x:v>145974.13518925314</x:v>
      </x:c>
      <x:c r="AL227" s="114" t="n">
        <x:f>AL211-AL225</x:f>
        <x:v>151164.87441965227</x:v>
      </x:c>
    </x:row>
    <x:row r="228">
      <x:c r="A228" s="84" t="str">
        <x:v>Normalized operating profit / (loss)</x:v>
      </x:c>
      <x:c r="B228" s="84" t="str">
        <x:v>$</x:v>
      </x:c>
      <x:c r="C228" s="114" t="n">
        <x:f>C213-C226</x:f>
        <x:v>-17765.408583333337</x:v>
      </x:c>
      <x:c r="D228" s="114" t="n">
        <x:f>D213-D226</x:f>
        <x:v>-8052.809818333333</x:v>
      </x:c>
      <x:c r="E228" s="114" t="n">
        <x:f>E213-E226</x:f>
        <x:v>-5854.993268470833</x:v>
      </x:c>
      <x:c r="F228" s="114" t="n">
        <x:f>F213-F226</x:f>
        <x:v>-2889.654634106959</x:v>
      </x:c>
      <x:c r="G228" s="114" t="n">
        <x:f>G213-G226</x:f>
        <x:v>1585.5561014132745</x:v>
      </x:c>
      <x:c r="H228" s="114" t="n">
        <x:f>H213-H226</x:f>
        <x:v>4800.601960815809</x:v>
      </x:c>
      <x:c r="I228" s="114" t="n">
        <x:f>I213-I226</x:f>
        <x:v>-6734.541415061529</x:v>
      </x:c>
      <x:c r="J228" s="114" t="n">
        <x:f>J213-J226</x:f>
        <x:v>11929.429211172419</x:v>
      </x:c>
      <x:c r="K228" s="114" t="n">
        <x:f>K213-K226</x:f>
        <x:v>15039.001876873202</x:v>
      </x:c>
      <x:c r="L228" s="114" t="n">
        <x:f>L213-L226</x:f>
        <x:v>18816.065863895754</x:v>
      </x:c>
      <x:c r="M228" s="114" t="n">
        <x:f>M213-M226</x:f>
        <x:v>22040.615782860958</x:v>
      </x:c>
      <x:c r="N228" s="114" t="n">
        <x:f>N213-N226</x:f>
        <x:v>-4767.0797973634835</x:v>
      </x:c>
      <x:c r="O228" s="114" t="n">
        <x:f>O213-O226</x:f>
        <x:v>28857.53282821433</x:v>
      </x:c>
      <x:c r="P228" s="114" t="n">
        <x:f>P213-P226</x:f>
        <x:v>33289.56776503634</x:v>
      </x:c>
      <x:c r="Q228" s="114" t="n">
        <x:f>Q213-Q226</x:f>
        <x:v>37071.91344717765</x:v>
      </x:c>
      <x:c r="R228" s="114" t="n">
        <x:f>R213-R226</x:f>
        <x:v>40816.435672497544</x:v>
      </x:c>
      <x:c r="S228" s="114" t="n">
        <x:f>S213-S226</x:f>
        <x:v>44523.512675564234</x:v>
      </x:c>
      <x:c r="T228" s="114" t="n">
        <x:f>T213-T226</x:f>
        <x:v>48193.51890860026</x:v>
      </x:c>
      <x:c r="U228" s="114" t="n">
        <x:f>U213-U226</x:f>
        <x:v>52755.28757930593</x:v>
      </x:c>
      <x:c r="V228" s="114" t="n">
        <x:f>V213-V226</x:f>
        <x:v>58858.4212531272</x:v>
      </x:c>
      <x:c r="W228" s="114" t="n">
        <x:f>W213-W226</x:f>
        <x:v>63518.70017309591</x:v>
      </x:c>
      <x:c r="X228" s="114" t="n">
        <x:f>X213-X226</x:f>
        <x:v>68132.37630386498</x:v>
      </x:c>
      <x:c r="Y228" s="114" t="n">
        <x:f>Y213-Y226</x:f>
        <x:v>72699.91567332632</x:v>
      </x:c>
      <x:c r="Z228" s="114" t="n">
        <x:f>Z213-Z226</x:f>
        <x:v>77221.77964909306</x:v>
      </x:c>
      <x:c r="AA228" s="114" t="n">
        <x:f>AA213-AA226</x:f>
        <x:v>83214.51248510211</x:v>
      </x:c>
      <x:c r="AB228" s="114" t="n">
        <x:f>AB213-AB226</x:f>
        <x:v>90000.0311177511</x:v>
      </x:c>
      <x:c r="AC228" s="114" t="n">
        <x:f>AC213-AC226</x:f>
        <x:v>95682.17805553196</x:v>
      </x:c>
      <x:c r="AD228" s="114" t="n">
        <x:f>AD213-AD226</x:f>
        <x:v>101307.50352393497</x:v>
      </x:c>
      <x:c r="AE228" s="114" t="n">
        <x:f>AE213-AE226</x:f>
        <x:v>106876.57573765394</x:v>
      </x:c>
      <x:c r="AF228" s="114" t="n">
        <x:f>AF213-AF226</x:f>
        <x:v>112389.95722923575</x:v>
      </x:c>
      <x:c r="AG228" s="114" t="n">
        <x:f>AG213-AG226</x:f>
        <x:v>117848.20490590172</x:v>
      </x:c>
      <x:c r="AH228" s="114" t="n">
        <x:f>AH213-AH226</x:f>
        <x:v>123251.87010580105</x:v>
      </x:c>
      <x:c r="AI228" s="114" t="n">
        <x:f>AI213-AI226</x:f>
        <x:v>128601.49865370138</x:v>
      </x:c>
      <x:c r="AJ228" s="114" t="n">
        <x:f>AJ213-AJ226</x:f>
        <x:v>133897.63091612264</x:v>
      </x:c>
      <x:c r="AK228" s="114" t="n">
        <x:f>AK213-AK226</x:f>
        <x:v>139140.8018559198</x:v>
      </x:c>
      <x:c r="AL228" s="114" t="n">
        <x:f>AL213-AL226</x:f>
        <x:v>144331.54108631893</x:v>
      </x:c>
    </x:row>
    <x:row r="229">
      <x:c r="A229" s="63" t="str">
        <x:v>CASH + FUNDING</x:v>
      </x:c>
      <x:c r="B229" s="63" t="str"/>
      <x:c r="C229" s="112"/>
      <x:c r="D229" s="112"/>
      <x:c r="E229" s="112"/>
      <x:c r="F229" s="112"/>
      <x:c r="G229" s="112"/>
      <x:c r="H229" s="112"/>
      <x:c r="I229" s="112"/>
      <x:c r="J229" s="112"/>
      <x:c r="K229" s="112"/>
      <x:c r="L229" s="112"/>
      <x:c r="M229" s="112"/>
      <x:c r="N229" s="112"/>
      <x:c r="O229" s="112"/>
      <x:c r="P229" s="112"/>
      <x:c r="Q229" s="112"/>
      <x:c r="R229" s="112"/>
      <x:c r="S229" s="112"/>
      <x:c r="T229" s="112"/>
      <x:c r="U229" s="112"/>
      <x:c r="V229" s="112"/>
      <x:c r="W229" s="112"/>
      <x:c r="X229" s="112"/>
      <x:c r="Y229" s="112"/>
      <x:c r="Z229" s="112"/>
      <x:c r="AA229" s="112"/>
      <x:c r="AB229" s="112"/>
      <x:c r="AC229" s="112"/>
      <x:c r="AD229" s="112"/>
      <x:c r="AE229" s="112"/>
      <x:c r="AF229" s="112"/>
      <x:c r="AG229" s="112"/>
      <x:c r="AH229" s="112"/>
      <x:c r="AI229" s="112"/>
      <x:c r="AJ229" s="112"/>
      <x:c r="AK229" s="112"/>
      <x:c r="AL229" s="112"/>
    </x:row>
    <x:row r="230">
      <x:c r="A230" s="84" t="str">
        <x:v>Revenue cash receipts</x:v>
      </x:c>
      <x:c r="B230" s="84" t="str">
        <x:v>$</x:v>
      </x:c>
      <x:c r="C230" s="114" t="n">
        <x:f>C188*'Scenarios'!$E$59</x:f>
        <x:v>3317.9247499999997</x:v>
      </x:c>
      <x:c r="D230" s="114" t="n">
        <x:f>D188*'Scenarios'!$E$59+C188*(1-'Scenarios'!$E$59)</x:f>
        <x:v>8098.236264999999</x:v>
      </x:c>
      <x:c r="E230" s="114" t="n">
        <x:f>E188*'Scenarios'!$E$59+D188*(1-'Scenarios'!$E$59)</x:f>
        <x:v>10442.059549862499</x:v>
      </x:c>
      <x:c r="F230" s="114" t="n">
        <x:f>F188*'Scenarios'!$E$59+E188*(1-'Scenarios'!$E$59)</x:f>
        <x:v>13502.601484988874</x:v>
      </x:c>
      <x:c r="G230" s="114" t="n">
        <x:f>G188*'Scenarios'!$E$59+F188*(1-'Scenarios'!$E$59)</x:f>
        <x:v>18088.175738263984</x:v>
      </x:c>
      <x:c r="H230" s="114" t="n">
        <x:f>H188*'Scenarios'!$E$59+G188*(1-'Scenarios'!$E$59)</x:f>
        <x:v>21468.444117743842</x:v>
      </x:c>
      <x:c r="I230" s="114" t="n">
        <x:f>I188*'Scenarios'!$E$59+H188*(1-'Scenarios'!$E$59)</x:f>
        <x:v>25388.712614066408</x:v>
      </x:c>
      <x:c r="J230" s="114" t="n">
        <x:f>J188*'Scenarios'!$E$59+I188*(1-'Scenarios'!$E$59)</x:f>
        <x:v>30448.291862925744</x:v>
      </x:c>
      <x:c r="K230" s="114" t="n">
        <x:f>K188*'Scenarios'!$E$59+J188*(1-'Scenarios'!$E$59)</x:f>
        <x:v>34578.90400773399</x:v>
      </x:c>
      <x:c r="L230" s="114" t="n">
        <x:f>L188*'Scenarios'!$E$59+K188*(1-'Scenarios'!$E$59)</x:f>
        <x:v>38649.798327031654</x:v>
      </x:c>
      <x:c r="M230" s="114" t="n">
        <x:f>M188*'Scenarios'!$E$59+L188*(1-'Scenarios'!$E$59)</x:f>
        <x:v>42679.98370313633</x:v>
      </x:c>
      <x:c r="N230" s="114" t="n">
        <x:f>N188*'Scenarios'!$E$59+M188*(1-'Scenarios'!$E$59)</x:f>
        <x:v>46669.867225479975</x:v>
      </x:c>
      <x:c r="O230" s="114" t="n">
        <x:f>O188*'Scenarios'!$E$59+N188*(1-'Scenarios'!$E$59)</x:f>
        <x:v>51217.95816260018</x:v>
      </x:c>
      <x:c r="P230" s="114" t="n">
        <x:f>P188*'Scenarios'!$E$59+O188*(1-'Scenarios'!$E$59)</x:f>
        <x:v>56899.08162784917</x:v>
      </x:c>
      <x:c r="Q230" s="114" t="n">
        <x:f>Q188*'Scenarios'!$E$59+P188*(1-'Scenarios'!$E$59)</x:f>
        <x:v>61645.02254688318</x:v>
      </x:c>
      <x:c r="R230" s="114" t="n">
        <x:f>R188*'Scenarios'!$E$59+Q188*(1-'Scenarios'!$E$59)</x:f>
        <x:v>66325.09235266435</x:v>
      </x:c>
      <x:c r="S230" s="114" t="n">
        <x:f>S188*'Scenarios'!$E$59+R188*(1-'Scenarios'!$E$59)</x:f>
        <x:v>70958.3614603877</x:v>
      </x:c>
      <x:c r="T230" s="114" t="n">
        <x:f>T188*'Scenarios'!$E$59+S188*(1-'Scenarios'!$E$59)</x:f>
        <x:v>75545.29787703384</x:v>
      </x:c>
      <x:c r="U230" s="114" t="n">
        <x:f>U188*'Scenarios'!$E$59+T188*(1-'Scenarios'!$E$59)</x:f>
        <x:v>81282.5774295135</x:v>
      </x:c>
      <x:c r="V230" s="114" t="n">
        <x:f>V188*'Scenarios'!$E$59+U188*(1-'Scenarios'!$E$59)</x:f>
        <x:v>89319.51106146835</x:v>
      </x:c>
      <x:c r="W230" s="114" t="n">
        <x:f>W188*'Scenarios'!$E$59+V188*(1-'Scenarios'!$E$59)</x:f>
        <x:v>95519.33273397865</x:v>
      </x:c>
      <x:c r="X230" s="114" t="n">
        <x:f>X188*'Scenarios'!$E$59+W188*(1-'Scenarios'!$E$59)</x:f>
        <x:v>101620.33278163889</x:v>
      </x:c>
      <x:c r="Y230" s="114" t="n">
        <x:f>Y188*'Scenarios'!$E$59+X188*(1-'Scenarios'!$E$59)</x:f>
        <x:v>107660.32282882248</x:v>
      </x:c>
      <x:c r="Z230" s="114" t="n">
        <x:f>Z188*'Scenarios'!$E$59+Y188*(1-'Scenarios'!$E$59)</x:f>
        <x:v>113639.91297553427</x:v>
      </x:c>
      <x:c r="AA230" s="114" t="n">
        <x:f>AA188*'Scenarios'!$E$59+Z188*(1-'Scenarios'!$E$59)</x:f>
        <x:v>121613.4197207789</x:v>
      </x:c>
      <x:c r="AB230" s="114" t="n">
        <x:f>AB188*'Scenarios'!$E$59+AA188*(1-'Scenarios'!$E$59)</x:f>
        <x:v>131032.79327357114</x:v>
      </x:c>
      <x:c r="AC230" s="114" t="n">
        <x:f>AC188*'Scenarios'!$E$59+AB188*(1-'Scenarios'!$E$59)</x:f>
        <x:v>138583.90546771046</x:v>
      </x:c>
      <x:c r="AD230" s="114" t="n">
        <x:f>AD188*'Scenarios'!$E$59+AC188*(1-'Scenarios'!$E$59)</x:f>
        <x:v>146022.68313178336</x:v>
      </x:c>
      <x:c r="AE230" s="114" t="n">
        <x:f>AE188*'Scenarios'!$E$59+AD188*(1-'Scenarios'!$E$59)</x:f>
        <x:v>153387.0730192155</x:v>
      </x:c>
      <x:c r="AF230" s="114" t="n">
        <x:f>AF188*'Scenarios'!$E$59+AE188*(1-'Scenarios'!$E$59)</x:f>
        <x:v>160677.81900777336</x:v>
      </x:c>
      <x:c r="AG230" s="114" t="n">
        <x:f>AG188*'Scenarios'!$E$59+AF188*(1-'Scenarios'!$E$59)</x:f>
        <x:v>167895.65753644562</x:v>
      </x:c>
      <x:c r="AH230" s="114" t="n">
        <x:f>AH188*'Scenarios'!$E$59+AG188*(1-'Scenarios'!$E$59)</x:f>
        <x:v>175041.31767983118</x:v>
      </x:c>
      <x:c r="AI230" s="114" t="n">
        <x:f>AI188*'Scenarios'!$E$59+AH188*(1-'Scenarios'!$E$59)</x:f>
        <x:v>182115.52122178287</x:v>
      </x:c>
      <x:c r="AJ230" s="114" t="n">
        <x:f>AJ188*'Scenarios'!$E$59+AI188*(1-'Scenarios'!$E$59)</x:f>
        <x:v>189118.98272831502</x:v>
      </x:c>
      <x:c r="AK230" s="114" t="n">
        <x:f>AK188*'Scenarios'!$E$59+AJ188*(1-'Scenarios'!$E$59)</x:f>
        <x:v>196052.4096197819</x:v>
      </x:c>
      <x:c r="AL230" s="114" t="n">
        <x:f>AL188*'Scenarios'!$E$59+AK188*(1-'Scenarios'!$E$59)</x:f>
        <x:v>202916.50224233407</x:v>
      </x:c>
    </x:row>
    <x:row r="231">
      <x:c r="A231" s="84" t="str">
        <x:v>Cash disbursements</x:v>
      </x:c>
      <x:c r="B231" s="84" t="str">
        <x:v>$</x:v>
      </x:c>
      <x:c r="C231" s="114" t="n">
        <x:f>C209+C225</x:f>
        <x:v>10317.71275</x:v>
      </x:c>
      <x:c r="D231" s="114" t="n">
        <x:f>D209+D225</x:f>
        <x:v>5413.888235</x:v>
      </x:c>
      <x:c r="E231" s="114" t="n">
        <x:f>E209+E225</x:f>
        <x:v>5509.5898482625</x:v>
      </x:c>
      <x:c r="F231" s="114" t="n">
        <x:f>F209+F225</x:f>
        <x:v>5620.446695392375</x:v>
      </x:c>
      <x:c r="G231" s="114" t="n">
        <x:f>G209+G225</x:f>
        <x:v>5761.613861550952</x:v>
      </x:c>
      <x:c r="H231" s="114" t="n">
        <x:f>H209+H225</x:f>
        <x:v>5901.609656685441</x:v>
      </x:c>
      <x:c r="I231" s="114" t="n">
        <x:f>I209+I225</x:f>
        <x:v>25368.556770554434</x:v>
      </x:c>
      <x:c r="J231" s="114" t="n">
        <x:f>J209+J225</x:f>
        <x:v>11787.181219932223</x:v>
      </x:c>
      <x:c r="K231" s="114" t="n">
        <x:f>K209+K225</x:f>
        <x:v>12788.79247596207</x:v>
      </x:c>
      <x:c r="L231" s="114" t="n">
        <x:f>L209+L225</x:f>
        <x:v>13081.80057145283</x:v>
      </x:c>
      <x:c r="M231" s="114" t="n">
        <x:f>M209+M225</x:f>
        <x:v>13886.6220141758</x:v>
      </x:c>
      <x:c r="N231" s="114" t="n">
        <x:f>N209+N225</x:f>
        <x:v>44683.39524247154</x:v>
      </x:c>
      <x:c r="O231" s="114" t="n">
        <x:f>O209+O225</x:f>
        <x:v>15618.281988484327</x:v>
      </x:c>
      <x:c r="P231" s="114" t="n">
        <x:f>P209+P225</x:f>
        <x:v>16890.260804536985</x:v>
      </x:c>
      <x:c r="Q231" s="114" t="n">
        <x:f>Q209+Q225</x:f>
        <x:v>17834.303534616614</x:v>
      </x:c>
      <x:c r="R231" s="114" t="n">
        <x:f>R209+R225</x:f>
        <x:v>18768.905837395447</x:v>
      </x:c>
      <x:c r="S231" s="114" t="n">
        <x:f>S209+S225</x:f>
        <x:v>19694.162117146494</x:v>
      </x:c>
      <x:c r="T231" s="114" t="n">
        <x:f>T209+T225</x:f>
        <x:v>20610.16583410003</x:v>
      </x:c>
      <x:c r="U231" s="114" t="n">
        <x:f>U209+U225</x:f>
        <x:v>21809.172013884032</x:v>
      </x:c>
      <x:c r="V231" s="114" t="n">
        <x:f>V209+V225</x:f>
        <x:v>23789.424192047514</x:v>
      </x:c>
      <x:c r="W231" s="114" t="n">
        <x:f>W209+W225</x:f>
        <x:v>25290.526859293706</x:v>
      </x:c>
      <x:c r="X231" s="114" t="n">
        <x:f>X209+X225</x:f>
        <x:v>26776.618499867433</x:v>
      </x:c>
      <x:c r="Y231" s="114" t="n">
        <x:f>Y209+Y225</x:f>
        <x:v>28247.849224035424</x:v>
      </x:c>
      <x:c r="Z231" s="114" t="n">
        <x:f>Z209+Z225</x:f>
        <x:v>29704.367640961733</x:v>
      </x:c>
      <x:c r="AA231" s="114" t="n">
        <x:f>AA209+AA225</x:f>
        <x:v>31725.858373718787</x:v>
      </x:c>
      <x:c r="AB231" s="114" t="n">
        <x:f>AB209+AB225</x:f>
        <x:v>34388.38982414826</x:v>
      </x:c>
      <x:c r="AC231" s="114" t="n">
        <x:f>AC209+AC225</x:f>
        <x:v>36218.64206236512</x:v>
      </x:c>
      <x:c r="AD231" s="114" t="n">
        <x:f>AD209+AD225</x:f>
        <x:v>38030.5917781998</x:v>
      </x:c>
      <x:c r="AE231" s="114" t="n">
        <x:f>AE209+AE225</x:f>
        <x:v>39824.421996876146</x:v>
      </x:c>
      <x:c r="AF231" s="114" t="n">
        <x:f>AF209+AF225</x:f>
        <x:v>41600.31391336571</x:v>
      </x:c>
      <x:c r="AG231" s="114" t="n">
        <x:f>AG209+AG225</x:f>
        <x:v>43358.446910690385</x:v>
      </x:c>
      <x:c r="AH231" s="114" t="n">
        <x:f>AH209+AH225</x:f>
        <x:v>45098.99857804182</x:v>
      </x:c>
      <x:c r="AI231" s="114" t="n">
        <x:f>AI209+AI225</x:f>
        <x:v>46822.14472871973</x:v>
      </x:c>
      <x:c r="AJ231" s="114" t="n">
        <x:f>AJ209+AJ225</x:f>
        <x:v>48528.05941789087</x:v>
      </x:c>
      <x:c r="AK231" s="114" t="n">
        <x:f>AK209+AK225</x:f>
        <x:v>50216.914960170296</x:v>
      </x:c>
      <x:c r="AL231" s="114" t="n">
        <x:f>AL209+AL225</x:f>
        <x:v>51888.88194702692</x:v>
      </x:c>
    </x:row>
    <x:row r="232">
      <x:c r="A232" s="84" t="str">
        <x:v>Operating cash surplus / (deficit)</x:v>
      </x:c>
      <x:c r="B232" s="84" t="str">
        <x:v>$</x:v>
      </x:c>
      <x:c r="C232" s="114" t="n">
        <x:f>C230-C231</x:f>
        <x:v>-6999.7880000000005</x:v>
      </x:c>
      <x:c r="D232" s="114" t="n">
        <x:f>D230-D231</x:f>
        <x:v>2684.3480299999983</x:v>
      </x:c>
      <x:c r="E232" s="114" t="n">
        <x:f>E230-E231</x:f>
        <x:v>4932.469701599999</x:v>
      </x:c>
      <x:c r="F232" s="114" t="n">
        <x:f>F230-F231</x:f>
        <x:v>7882.1547895964995</x:v>
      </x:c>
      <x:c r="G232" s="114" t="n">
        <x:f>G230-G231</x:f>
        <x:v>12326.561876713033</x:v>
      </x:c>
      <x:c r="H232" s="114" t="n">
        <x:f>H230-H231</x:f>
        <x:v>15566.8344610584</x:v>
      </x:c>
      <x:c r="I232" s="114" t="n">
        <x:f>I230-I231</x:f>
        <x:v>20.155843511973217</x:v>
      </x:c>
      <x:c r="J232" s="114" t="n">
        <x:f>J230-J231</x:f>
        <x:v>18661.11064299352</x:v>
      </x:c>
      <x:c r="K232" s="114" t="n">
        <x:f>K230-K231</x:f>
        <x:v>21790.11153177192</x:v>
      </x:c>
      <x:c r="L232" s="114" t="n">
        <x:f>L230-L231</x:f>
        <x:v>25567.997755578825</x:v>
      </x:c>
      <x:c r="M232" s="114" t="n">
        <x:f>M230-M231</x:f>
        <x:v>28793.361688960525</x:v>
      </x:c>
      <x:c r="N232" s="114" t="n">
        <x:f>N230-N231</x:f>
        <x:v>1986.471983008436</x:v>
      </x:c>
      <x:c r="O232" s="114" t="n">
        <x:f>O230-O231</x:f>
        <x:v>35599.676174115855</x:v>
      </x:c>
      <x:c r="P232" s="114" t="n">
        <x:f>P230-P231</x:f>
        <x:v>40008.820823312184</x:v>
      </x:c>
      <x:c r="Q232" s="114" t="n">
        <x:f>Q230-Q231</x:f>
        <x:v>43810.71901226656</x:v>
      </x:c>
      <x:c r="R232" s="114" t="n">
        <x:f>R230-R231</x:f>
        <x:v>47556.1865152689</x:v>
      </x:c>
      <x:c r="S232" s="114" t="n">
        <x:f>S230-S231</x:f>
        <x:v>51264.19934324121</x:v>
      </x:c>
      <x:c r="T232" s="114" t="n">
        <x:f>T230-T231</x:f>
        <x:v>54935.13204293381</x:v>
      </x:c>
      <x:c r="U232" s="114" t="n">
        <x:f>U230-U231</x:f>
        <x:v>59473.40541562947</x:v>
      </x:c>
      <x:c r="V232" s="114" t="n">
        <x:f>V230-V231</x:f>
        <x:v>65530.08686942083</x:v>
      </x:c>
      <x:c r="W232" s="114" t="n">
        <x:f>W230-W231</x:f>
        <x:v>70228.80587468494</x:v>
      </x:c>
      <x:c r="X232" s="114" t="n">
        <x:f>X230-X231</x:f>
        <x:v>74843.71428177146</x:v>
      </x:c>
      <x:c r="Y232" s="114" t="n">
        <x:f>Y230-Y231</x:f>
        <x:v>79412.47360478705</x:v>
      </x:c>
      <x:c r="Z232" s="114" t="n">
        <x:f>Z230-Z231</x:f>
        <x:v>83935.54533457254</x:v>
      </x:c>
      <x:c r="AA232" s="114" t="n">
        <x:f>AA230-AA231</x:f>
        <x:v>89887.56134706011</x:v>
      </x:c>
      <x:c r="AB232" s="114" t="n">
        <x:f>AB230-AB231</x:f>
        <x:v>96644.40344942288</x:v>
      </x:c>
      <x:c r="AC232" s="114" t="n">
        <x:f>AC230-AC231</x:f>
        <x:v>102365.26340534534</x:v>
      </x:c>
      <x:c r="AD232" s="114" t="n">
        <x:f>AD230-AD231</x:f>
        <x:v>107992.09135358356</x:v>
      </x:c>
      <x:c r="AE232" s="114" t="n">
        <x:f>AE230-AE231</x:f>
        <x:v>113562.65102233934</x:v>
      </x:c>
      <x:c r="AF232" s="114" t="n">
        <x:f>AF230-AF231</x:f>
        <x:v>119077.50509440765</x:v>
      </x:c>
      <x:c r="AG232" s="114" t="n">
        <x:f>AG230-AG231</x:f>
        <x:v>124537.21062575524</x:v>
      </x:c>
      <x:c r="AH232" s="114" t="n">
        <x:f>AH230-AH231</x:f>
        <x:v>129942.31910178936</x:v>
      </x:c>
      <x:c r="AI232" s="114" t="n">
        <x:f>AI230-AI231</x:f>
        <x:v>135293.37649306314</x:v>
      </x:c>
      <x:c r="AJ232" s="114" t="n">
        <x:f>AJ230-AJ231</x:f>
        <x:v>140590.92331042414</x:v>
      </x:c>
      <x:c r="AK232" s="114" t="n">
        <x:f>AK230-AK231</x:f>
        <x:v>145835.4946596116</x:v>
      </x:c>
      <x:c r="AL232" s="114" t="n">
        <x:f>AL230-AL231</x:f>
        <x:v>151027.62029530713</x:v>
      </x:c>
    </x:row>
    <x:row r="233">
      <x:c r="A233" s="84" t="str">
        <x:v>Sponsor capital contribution</x:v>
      </x:c>
      <x:c r="B233" s="84" t="str">
        <x:v>$</x:v>
      </x:c>
      <x:c r="C233" s="114" t="n">
        <x:f>IF(C166=1,'Scenarios'!$E$60,0)+IF(C166='Scenarios'!$E$62,'Scenarios'!$E$61,0)+IF(C166='Scenarios'!$E$64,'Scenarios'!$E$63,0)</x:f>
        <x:v>5000</x:v>
      </x:c>
      <x:c r="D233" s="114" t="n">
        <x:f>IF(D166=1,'Scenarios'!$E$60,0)+IF(D166='Scenarios'!$E$62,'Scenarios'!$E$61,0)+IF(D166='Scenarios'!$E$64,'Scenarios'!$E$63,0)</x:f>
        <x:v>0</x:v>
      </x:c>
      <x:c r="E233" s="114" t="n">
        <x:f>IF(E166=1,'Scenarios'!$E$60,0)+IF(E166='Scenarios'!$E$62,'Scenarios'!$E$61,0)+IF(E166='Scenarios'!$E$64,'Scenarios'!$E$63,0)</x:f>
        <x:v>0</x:v>
      </x:c>
      <x:c r="F233" s="114" t="n">
        <x:f>IF(F166=1,'Scenarios'!$E$60,0)+IF(F166='Scenarios'!$E$62,'Scenarios'!$E$61,0)+IF(F166='Scenarios'!$E$64,'Scenarios'!$E$63,0)</x:f>
        <x:v>0</x:v>
      </x:c>
      <x:c r="G233" s="114" t="n">
        <x:f>IF(G166=1,'Scenarios'!$E$60,0)+IF(G166='Scenarios'!$E$62,'Scenarios'!$E$61,0)+IF(G166='Scenarios'!$E$64,'Scenarios'!$E$63,0)</x:f>
        <x:v>0</x:v>
      </x:c>
      <x:c r="H233" s="114" t="n">
        <x:f>IF(H166=1,'Scenarios'!$E$60,0)+IF(H166='Scenarios'!$E$62,'Scenarios'!$E$61,0)+IF(H166='Scenarios'!$E$64,'Scenarios'!$E$63,0)</x:f>
        <x:v>0</x:v>
      </x:c>
      <x:c r="I233" s="114" t="n">
        <x:f>IF(I166=1,'Scenarios'!$E$60,0)+IF(I166='Scenarios'!$E$62,'Scenarios'!$E$61,0)+IF(I166='Scenarios'!$E$64,'Scenarios'!$E$63,0)</x:f>
        <x:v>15000</x:v>
      </x:c>
      <x:c r="J233" s="114" t="n">
        <x:f>IF(J166=1,'Scenarios'!$E$60,0)+IF(J166='Scenarios'!$E$62,'Scenarios'!$E$61,0)+IF(J166='Scenarios'!$E$64,'Scenarios'!$E$63,0)</x:f>
        <x:v>0</x:v>
      </x:c>
      <x:c r="K233" s="114" t="n">
        <x:f>IF(K166=1,'Scenarios'!$E$60,0)+IF(K166='Scenarios'!$E$62,'Scenarios'!$E$61,0)+IF(K166='Scenarios'!$E$64,'Scenarios'!$E$63,0)</x:f>
        <x:v>0</x:v>
      </x:c>
      <x:c r="L233" s="114" t="n">
        <x:f>IF(L166=1,'Scenarios'!$E$60,0)+IF(L166='Scenarios'!$E$62,'Scenarios'!$E$61,0)+IF(L166='Scenarios'!$E$64,'Scenarios'!$E$63,0)</x:f>
        <x:v>0</x:v>
      </x:c>
      <x:c r="M233" s="114" t="n">
        <x:f>IF(M166=1,'Scenarios'!$E$60,0)+IF(M166='Scenarios'!$E$62,'Scenarios'!$E$61,0)+IF(M166='Scenarios'!$E$64,'Scenarios'!$E$63,0)</x:f>
        <x:v>0</x:v>
      </x:c>
      <x:c r="N233" s="114" t="n">
        <x:f>IF(N166=1,'Scenarios'!$E$60,0)+IF(N166='Scenarios'!$E$62,'Scenarios'!$E$61,0)+IF(N166='Scenarios'!$E$64,'Scenarios'!$E$63,0)</x:f>
        <x:v>30000</x:v>
      </x:c>
      <x:c r="O233" s="114" t="n">
        <x:f>IF(O166=1,'Scenarios'!$E$60,0)+IF(O166='Scenarios'!$E$62,'Scenarios'!$E$61,0)+IF(O166='Scenarios'!$E$64,'Scenarios'!$E$63,0)</x:f>
        <x:v>0</x:v>
      </x:c>
      <x:c r="P233" s="114" t="n">
        <x:f>IF(P166=1,'Scenarios'!$E$60,0)+IF(P166='Scenarios'!$E$62,'Scenarios'!$E$61,0)+IF(P166='Scenarios'!$E$64,'Scenarios'!$E$63,0)</x:f>
        <x:v>0</x:v>
      </x:c>
      <x:c r="Q233" s="114" t="n">
        <x:f>IF(Q166=1,'Scenarios'!$E$60,0)+IF(Q166='Scenarios'!$E$62,'Scenarios'!$E$61,0)+IF(Q166='Scenarios'!$E$64,'Scenarios'!$E$63,0)</x:f>
        <x:v>0</x:v>
      </x:c>
      <x:c r="R233" s="114" t="n">
        <x:f>IF(R166=1,'Scenarios'!$E$60,0)+IF(R166='Scenarios'!$E$62,'Scenarios'!$E$61,0)+IF(R166='Scenarios'!$E$64,'Scenarios'!$E$63,0)</x:f>
        <x:v>0</x:v>
      </x:c>
      <x:c r="S233" s="114" t="n">
        <x:f>IF(S166=1,'Scenarios'!$E$60,0)+IF(S166='Scenarios'!$E$62,'Scenarios'!$E$61,0)+IF(S166='Scenarios'!$E$64,'Scenarios'!$E$63,0)</x:f>
        <x:v>0</x:v>
      </x:c>
      <x:c r="T233" s="114" t="n">
        <x:f>IF(T166=1,'Scenarios'!$E$60,0)+IF(T166='Scenarios'!$E$62,'Scenarios'!$E$61,0)+IF(T166='Scenarios'!$E$64,'Scenarios'!$E$63,0)</x:f>
        <x:v>0</x:v>
      </x:c>
      <x:c r="U233" s="114" t="n">
        <x:f>IF(U166=1,'Scenarios'!$E$60,0)+IF(U166='Scenarios'!$E$62,'Scenarios'!$E$61,0)+IF(U166='Scenarios'!$E$64,'Scenarios'!$E$63,0)</x:f>
        <x:v>0</x:v>
      </x:c>
      <x:c r="V233" s="114" t="n">
        <x:f>IF(V166=1,'Scenarios'!$E$60,0)+IF(V166='Scenarios'!$E$62,'Scenarios'!$E$61,0)+IF(V166='Scenarios'!$E$64,'Scenarios'!$E$63,0)</x:f>
        <x:v>0</x:v>
      </x:c>
      <x:c r="W233" s="114" t="n">
        <x:f>IF(W166=1,'Scenarios'!$E$60,0)+IF(W166='Scenarios'!$E$62,'Scenarios'!$E$61,0)+IF(W166='Scenarios'!$E$64,'Scenarios'!$E$63,0)</x:f>
        <x:v>0</x:v>
      </x:c>
      <x:c r="X233" s="114" t="n">
        <x:f>IF(X166=1,'Scenarios'!$E$60,0)+IF(X166='Scenarios'!$E$62,'Scenarios'!$E$61,0)+IF(X166='Scenarios'!$E$64,'Scenarios'!$E$63,0)</x:f>
        <x:v>0</x:v>
      </x:c>
      <x:c r="Y233" s="114" t="n">
        <x:f>IF(Y166=1,'Scenarios'!$E$60,0)+IF(Y166='Scenarios'!$E$62,'Scenarios'!$E$61,0)+IF(Y166='Scenarios'!$E$64,'Scenarios'!$E$63,0)</x:f>
        <x:v>0</x:v>
      </x:c>
      <x:c r="Z233" s="114" t="n">
        <x:f>IF(Z166=1,'Scenarios'!$E$60,0)+IF(Z166='Scenarios'!$E$62,'Scenarios'!$E$61,0)+IF(Z166='Scenarios'!$E$64,'Scenarios'!$E$63,0)</x:f>
        <x:v>0</x:v>
      </x:c>
      <x:c r="AA233" s="114" t="n">
        <x:f>IF(AA166=1,'Scenarios'!$E$60,0)+IF(AA166='Scenarios'!$E$62,'Scenarios'!$E$61,0)+IF(AA166='Scenarios'!$E$64,'Scenarios'!$E$63,0)</x:f>
        <x:v>0</x:v>
      </x:c>
      <x:c r="AB233" s="114" t="n">
        <x:f>IF(AB166=1,'Scenarios'!$E$60,0)+IF(AB166='Scenarios'!$E$62,'Scenarios'!$E$61,0)+IF(AB166='Scenarios'!$E$64,'Scenarios'!$E$63,0)</x:f>
        <x:v>0</x:v>
      </x:c>
      <x:c r="AC233" s="114" t="n">
        <x:f>IF(AC166=1,'Scenarios'!$E$60,0)+IF(AC166='Scenarios'!$E$62,'Scenarios'!$E$61,0)+IF(AC166='Scenarios'!$E$64,'Scenarios'!$E$63,0)</x:f>
        <x:v>0</x:v>
      </x:c>
      <x:c r="AD233" s="114" t="n">
        <x:f>IF(AD166=1,'Scenarios'!$E$60,0)+IF(AD166='Scenarios'!$E$62,'Scenarios'!$E$61,0)+IF(AD166='Scenarios'!$E$64,'Scenarios'!$E$63,0)</x:f>
        <x:v>0</x:v>
      </x:c>
      <x:c r="AE233" s="114" t="n">
        <x:f>IF(AE166=1,'Scenarios'!$E$60,0)+IF(AE166='Scenarios'!$E$62,'Scenarios'!$E$61,0)+IF(AE166='Scenarios'!$E$64,'Scenarios'!$E$63,0)</x:f>
        <x:v>0</x:v>
      </x:c>
      <x:c r="AF233" s="114" t="n">
        <x:f>IF(AF166=1,'Scenarios'!$E$60,0)+IF(AF166='Scenarios'!$E$62,'Scenarios'!$E$61,0)+IF(AF166='Scenarios'!$E$64,'Scenarios'!$E$63,0)</x:f>
        <x:v>0</x:v>
      </x:c>
      <x:c r="AG233" s="114" t="n">
        <x:f>IF(AG166=1,'Scenarios'!$E$60,0)+IF(AG166='Scenarios'!$E$62,'Scenarios'!$E$61,0)+IF(AG166='Scenarios'!$E$64,'Scenarios'!$E$63,0)</x:f>
        <x:v>0</x:v>
      </x:c>
      <x:c r="AH233" s="114" t="n">
        <x:f>IF(AH166=1,'Scenarios'!$E$60,0)+IF(AH166='Scenarios'!$E$62,'Scenarios'!$E$61,0)+IF(AH166='Scenarios'!$E$64,'Scenarios'!$E$63,0)</x:f>
        <x:v>0</x:v>
      </x:c>
      <x:c r="AI233" s="114" t="n">
        <x:f>IF(AI166=1,'Scenarios'!$E$60,0)+IF(AI166='Scenarios'!$E$62,'Scenarios'!$E$61,0)+IF(AI166='Scenarios'!$E$64,'Scenarios'!$E$63,0)</x:f>
        <x:v>0</x:v>
      </x:c>
      <x:c r="AJ233" s="114" t="n">
        <x:f>IF(AJ166=1,'Scenarios'!$E$60,0)+IF(AJ166='Scenarios'!$E$62,'Scenarios'!$E$61,0)+IF(AJ166='Scenarios'!$E$64,'Scenarios'!$E$63,0)</x:f>
        <x:v>0</x:v>
      </x:c>
      <x:c r="AK233" s="114" t="n">
        <x:f>IF(AK166=1,'Scenarios'!$E$60,0)+IF(AK166='Scenarios'!$E$62,'Scenarios'!$E$61,0)+IF(AK166='Scenarios'!$E$64,'Scenarios'!$E$63,0)</x:f>
        <x:v>0</x:v>
      </x:c>
      <x:c r="AL233" s="114" t="n">
        <x:f>IF(AL166=1,'Scenarios'!$E$60,0)+IF(AL166='Scenarios'!$E$62,'Scenarios'!$E$61,0)+IF(AL166='Scenarios'!$E$64,'Scenarios'!$E$63,0)</x:f>
        <x:v>0</x:v>
      </x:c>
    </x:row>
    <x:row r="234">
      <x:c r="A234" s="84" t="str">
        <x:v>Opening cash</x:v>
      </x:c>
      <x:c r="B234" s="84" t="str">
        <x:v>$</x:v>
      </x:c>
      <x:c r="C234" s="114" t="n">
        <x:f>0</x:f>
        <x:v>0</x:v>
      </x:c>
      <x:c r="D234" s="114" t="n">
        <x:f>C235</x:f>
        <x:v>-1999.7880000000005</x:v>
      </x:c>
      <x:c r="E234" s="114" t="n">
        <x:f>D235</x:f>
        <x:v>684.5600299999978</x:v>
      </x:c>
      <x:c r="F234" s="114" t="n">
        <x:f>E235</x:f>
        <x:v>5617.029731599998</x:v>
      </x:c>
      <x:c r="G234" s="114" t="n">
        <x:f>F235</x:f>
        <x:v>13499.1845211965</x:v>
      </x:c>
      <x:c r="H234" s="114" t="n">
        <x:f>G235</x:f>
        <x:v>25825.74639790953</x:v>
      </x:c>
      <x:c r="I234" s="114" t="n">
        <x:f>H235</x:f>
        <x:v>41392.58085896794</x:v>
      </x:c>
      <x:c r="J234" s="114" t="n">
        <x:f>I235</x:f>
        <x:v>56412.7367024799</x:v>
      </x:c>
      <x:c r="K234" s="114" t="n">
        <x:f>J235</x:f>
        <x:v>75073.84734547342</x:v>
      </x:c>
      <x:c r="L234" s="114" t="n">
        <x:f>K235</x:f>
        <x:v>96863.95887724534</x:v>
      </x:c>
      <x:c r="M234" s="114" t="n">
        <x:f>L235</x:f>
        <x:v>122431.95663282418</x:v>
      </x:c>
      <x:c r="N234" s="114" t="n">
        <x:f>M235</x:f>
        <x:v>151225.3183217847</x:v>
      </x:c>
      <x:c r="O234" s="114" t="n">
        <x:f>N235</x:f>
        <x:v>183211.79030479313</x:v>
      </x:c>
      <x:c r="P234" s="114" t="n">
        <x:f>O235</x:f>
        <x:v>218811.466478909</x:v>
      </x:c>
      <x:c r="Q234" s="114" t="n">
        <x:f>P235</x:f>
        <x:v>258820.28730222117</x:v>
      </x:c>
      <x:c r="R234" s="114" t="n">
        <x:f>Q235</x:f>
        <x:v>302631.0063144878</x:v>
      </x:c>
      <x:c r="S234" s="114" t="n">
        <x:f>R235</x:f>
        <x:v>350187.19282975665</x:v>
      </x:c>
      <x:c r="T234" s="114" t="n">
        <x:f>S235</x:f>
        <x:v>401451.3921729979</x:v>
      </x:c>
      <x:c r="U234" s="114" t="n">
        <x:f>T235</x:f>
        <x:v>456386.52421593165</x:v>
      </x:c>
      <x:c r="V234" s="114" t="n">
        <x:f>U235</x:f>
        <x:v>515859.92963156116</x:v>
      </x:c>
      <x:c r="W234" s="114" t="n">
        <x:f>V235</x:f>
        <x:v>581390.016500982</x:v>
      </x:c>
      <x:c r="X234" s="114" t="n">
        <x:f>W235</x:f>
        <x:v>651618.8223756669</x:v>
      </x:c>
      <x:c r="Y234" s="114" t="n">
        <x:f>X235</x:f>
        <x:v>726462.5366574384</x:v>
      </x:c>
      <x:c r="Z234" s="114" t="n">
        <x:f>Y235</x:f>
        <x:v>805875.0102622255</x:v>
      </x:c>
      <x:c r="AA234" s="114" t="n">
        <x:f>Z235</x:f>
        <x:v>889810.5555967981</x:v>
      </x:c>
      <x:c r="AB234" s="114" t="n">
        <x:f>AA235</x:f>
        <x:v>979698.1169438582</x:v>
      </x:c>
      <x:c r="AC234" s="114" t="n">
        <x:f>AB235</x:f>
        <x:v>1076342.520393281</x:v>
      </x:c>
      <x:c r="AD234" s="114" t="n">
        <x:f>AC235</x:f>
        <x:v>1178707.7837986264</x:v>
      </x:c>
      <x:c r="AE234" s="114" t="n">
        <x:f>AD235</x:f>
        <x:v>1286699.8751522098</x:v>
      </x:c>
      <x:c r="AF234" s="114" t="n">
        <x:f>AE235</x:f>
        <x:v>1400262.526174549</x:v>
      </x:c>
      <x:c r="AG234" s="114" t="n">
        <x:f>AF235</x:f>
        <x:v>1519340.0312689566</x:v>
      </x:c>
      <x:c r="AH234" s="114" t="n">
        <x:f>AG235</x:f>
        <x:v>1643877.241894712</x:v>
      </x:c>
      <x:c r="AI234" s="114" t="n">
        <x:f>AH235</x:f>
        <x:v>1773819.5609965012</x:v>
      </x:c>
      <x:c r="AJ234" s="114" t="n">
        <x:f>AI235</x:f>
        <x:v>1909112.9374895643</x:v>
      </x:c>
      <x:c r="AK234" s="114" t="n">
        <x:f>AJ235</x:f>
        <x:v>2049703.8607999883</x:v>
      </x:c>
      <x:c r="AL234" s="114" t="n">
        <x:f>AK235</x:f>
        <x:v>2195539.3554595998</x:v>
      </x:c>
    </x:row>
    <x:row r="235">
      <x:c r="A235" s="84" t="str">
        <x:v>Ending cash</x:v>
      </x:c>
      <x:c r="B235" s="84" t="str">
        <x:v>$</x:v>
      </x:c>
      <x:c r="C235" s="118" t="n">
        <x:f>C234+C230-C231+C233</x:f>
        <x:v>-1999.7880000000005</x:v>
      </x:c>
      <x:c r="D235" s="118" t="n">
        <x:f>D234+D230-D231+D233</x:f>
        <x:v>684.5600299999978</x:v>
      </x:c>
      <x:c r="E235" s="118" t="n">
        <x:f>E234+E230-E231+E233</x:f>
        <x:v>5617.029731599998</x:v>
      </x:c>
      <x:c r="F235" s="118" t="n">
        <x:f>F234+F230-F231+F233</x:f>
        <x:v>13499.1845211965</x:v>
      </x:c>
      <x:c r="G235" s="118" t="n">
        <x:f>G234+G230-G231+G233</x:f>
        <x:v>25825.74639790953</x:v>
      </x:c>
      <x:c r="H235" s="118" t="n">
        <x:f>H234+H230-H231+H233</x:f>
        <x:v>41392.58085896794</x:v>
      </x:c>
      <x:c r="I235" s="118" t="n">
        <x:f>I234+I230-I231+I233</x:f>
        <x:v>56412.7367024799</x:v>
      </x:c>
      <x:c r="J235" s="118" t="n">
        <x:f>J234+J230-J231+J233</x:f>
        <x:v>75073.84734547342</x:v>
      </x:c>
      <x:c r="K235" s="118" t="n">
        <x:f>K234+K230-K231+K233</x:f>
        <x:v>96863.95887724534</x:v>
      </x:c>
      <x:c r="L235" s="118" t="n">
        <x:f>L234+L230-L231+L233</x:f>
        <x:v>122431.95663282418</x:v>
      </x:c>
      <x:c r="M235" s="118" t="n">
        <x:f>M234+M230-M231+M233</x:f>
        <x:v>151225.3183217847</x:v>
      </x:c>
      <x:c r="N235" s="118" t="n">
        <x:f>N234+N230-N231+N233</x:f>
        <x:v>183211.79030479313</x:v>
      </x:c>
      <x:c r="O235" s="118" t="n">
        <x:f>O234+O230-O231+O233</x:f>
        <x:v>218811.466478909</x:v>
      </x:c>
      <x:c r="P235" s="118" t="n">
        <x:f>P234+P230-P231+P233</x:f>
        <x:v>258820.28730222117</x:v>
      </x:c>
      <x:c r="Q235" s="118" t="n">
        <x:f>Q234+Q230-Q231+Q233</x:f>
        <x:v>302631.0063144878</x:v>
      </x:c>
      <x:c r="R235" s="118" t="n">
        <x:f>R234+R230-R231+R233</x:f>
        <x:v>350187.19282975665</x:v>
      </x:c>
      <x:c r="S235" s="118" t="n">
        <x:f>S234+S230-S231+S233</x:f>
        <x:v>401451.3921729979</x:v>
      </x:c>
      <x:c r="T235" s="118" t="n">
        <x:f>T234+T230-T231+T233</x:f>
        <x:v>456386.52421593165</x:v>
      </x:c>
      <x:c r="U235" s="118" t="n">
        <x:f>U234+U230-U231+U233</x:f>
        <x:v>515859.92963156116</x:v>
      </x:c>
      <x:c r="V235" s="118" t="n">
        <x:f>V234+V230-V231+V233</x:f>
        <x:v>581390.016500982</x:v>
      </x:c>
      <x:c r="W235" s="118" t="n">
        <x:f>W234+W230-W231+W233</x:f>
        <x:v>651618.8223756669</x:v>
      </x:c>
      <x:c r="X235" s="118" t="n">
        <x:f>X234+X230-X231+X233</x:f>
        <x:v>726462.5366574384</x:v>
      </x:c>
      <x:c r="Y235" s="118" t="n">
        <x:f>Y234+Y230-Y231+Y233</x:f>
        <x:v>805875.0102622255</x:v>
      </x:c>
      <x:c r="Z235" s="118" t="n">
        <x:f>Z234+Z230-Z231+Z233</x:f>
        <x:v>889810.5555967981</x:v>
      </x:c>
      <x:c r="AA235" s="118" t="n">
        <x:f>AA234+AA230-AA231+AA233</x:f>
        <x:v>979698.1169438582</x:v>
      </x:c>
      <x:c r="AB235" s="118" t="n">
        <x:f>AB234+AB230-AB231+AB233</x:f>
        <x:v>1076342.520393281</x:v>
      </x:c>
      <x:c r="AC235" s="118" t="n">
        <x:f>AC234+AC230-AC231+AC233</x:f>
        <x:v>1178707.7837986264</x:v>
      </x:c>
      <x:c r="AD235" s="118" t="n">
        <x:f>AD234+AD230-AD231+AD233</x:f>
        <x:v>1286699.8751522098</x:v>
      </x:c>
      <x:c r="AE235" s="118" t="n">
        <x:f>AE234+AE230-AE231+AE233</x:f>
        <x:v>1400262.526174549</x:v>
      </x:c>
      <x:c r="AF235" s="118" t="n">
        <x:f>AF234+AF230-AF231+AF233</x:f>
        <x:v>1519340.0312689566</x:v>
      </x:c>
      <x:c r="AG235" s="118" t="n">
        <x:f>AG234+AG230-AG231+AG233</x:f>
        <x:v>1643877.241894712</x:v>
      </x:c>
      <x:c r="AH235" s="118" t="n">
        <x:f>AH234+AH230-AH231+AH233</x:f>
        <x:v>1773819.5609965012</x:v>
      </x:c>
      <x:c r="AI235" s="118" t="n">
        <x:f>AI234+AI230-AI231+AI233</x:f>
        <x:v>1909112.9374895643</x:v>
      </x:c>
      <x:c r="AJ235" s="118" t="n">
        <x:f>AJ234+AJ230-AJ231+AJ233</x:f>
        <x:v>2049703.8607999883</x:v>
      </x:c>
      <x:c r="AK235" s="118" t="n">
        <x:f>AK234+AK230-AK231+AK233</x:f>
        <x:v>2195539.3554595998</x:v>
      </x:c>
      <x:c r="AL235" s="118" t="n">
        <x:f>AL234+AL230-AL231+AL233</x:f>
        <x:v>2346566.975754907</x:v>
      </x:c>
    </x:row>
    <x:row r="236">
      <x:c r="A236" s="84" t="str">
        <x:v>Accounts receivable</x:v>
      </x:c>
      <x:c r="B236" s="84" t="str">
        <x:v>$</x:v>
      </x:c>
      <x:c r="C236" s="114" t="n">
        <x:f>C188*(1-'Scenarios'!$E$59)</x:f>
        <x:v>67.71275000000006</x:v>
      </x:c>
      <x:c r="D236" s="114" t="n">
        <x:f>D188*(1-'Scenarios'!$E$59)</x:f>
        <x:v>163.88823500000012</x:v>
      </x:c>
      <x:c r="E236" s="114" t="n">
        <x:f>E188*(1-'Scenarios'!$E$59)</x:f>
        <x:v>209.75859826250016</x:v>
      </x:c>
      <x:c r="F236" s="114" t="n">
        <x:f>F188*(1-'Scenarios'!$E$59)</x:f>
        <x:v>271.28250789237524</x:v>
      </x:c>
      <x:c r="G236" s="114" t="n">
        <x:f>G188*(1-'Scenarios'!$E$59)</x:f>
        <x:v>363.6100659259515</x:v>
      </x:c>
      <x:c r="H236" s="114" t="n">
        <x:f>H188*(1-'Scenarios'!$E$59)</x:f>
        <x:v>430.71089901669205</x:v>
      </x:c>
      <x:c r="I236" s="114" t="n">
        <x:f>I188*(1-'Scenarios'!$E$59)</x:f>
        <x:v>509.34697377652526</x:v>
      </x:c>
      <x:c r="J236" s="114" t="n">
        <x:f>J188*(1-'Scenarios'!$E$59)</x:f>
        <x:v>610.99887528876</x:v>
      </x:c>
      <x:c r="K236" s="114" t="n">
        <x:f>K188*(1-'Scenarios'!$E$59)</x:f>
        <x:v>693.2225537233727</x:v>
      </x:c>
      <x:c r="L236" s="114" t="n">
        <x:f>L188*(1-'Scenarios'!$E$59)</x:f>
        <x:v>774.623995373639</x:v>
      </x:c>
      <x:c r="M236" s="114" t="n">
        <x:f>M188*(1-'Scenarios'!$E$59)</x:f>
        <x:v>855.2114226074027</x:v>
      </x:c>
      <x:c r="N236" s="114" t="n">
        <x:f>N188*(1-'Scenarios'!$E$59)</x:f>
        <x:v>934.9929755688288</x:v>
      </x:c>
      <x:c r="O236" s="114" t="n">
        <x:f>O188*(1-'Scenarios'!$E$59)</x:f>
        <x:v>1026.1829630006407</x:v>
      </x:c>
      <x:c r="P236" s="114" t="n">
        <x:f>P188*(1-'Scenarios'!$E$59)</x:f>
        <x:v>1140.2632380581342</x:v>
      </x:c>
      <x:c r="Q236" s="114" t="n">
        <x:f>Q188*(1-'Scenarios'!$E$59)</x:f>
        <x:v>1234.7910063025531</x:v>
      </x:c>
      <x:c r="R236" s="114" t="n">
        <x:f>R188*(1-'Scenarios'!$E$59)</x:f>
        <x:v>1328.3734968645276</x:v>
      </x:c>
      <x:c r="S236" s="114" t="n">
        <x:f>S188*(1-'Scenarios'!$E$59)</x:f>
        <x:v>1421.0201625208826</x:v>
      </x:c>
      <x:c r="T236" s="114" t="n">
        <x:f>T188*(1-'Scenarios'!$E$59)</x:f>
        <x:v>1512.7403615206738</x:v>
      </x:c>
      <x:c r="U236" s="114" t="n">
        <x:f>U188*(1-'Scenarios'!$E$59)</x:f>
        <x:v>1627.9558585304674</x:v>
      </x:c>
      <x:c r="V236" s="114" t="n">
        <x:f>V188*(1-'Scenarios'!$E$59)</x:f>
        <x:v>1789.6235755701625</x:v>
      </x:c>
      <x:c r="W236" s="114" t="n">
        <x:f>W188*(1-'Scenarios'!$E$59)</x:f>
        <x:v>1912.8512073144607</x:v>
      </x:c>
      <x:c r="X236" s="114" t="n">
        <x:f>X188*(1-'Scenarios'!$E$59)</x:f>
        <x:v>2034.8465627413166</x:v>
      </x:c>
      <x:c r="Y236" s="114" t="n">
        <x:f>Y188*(1-'Scenarios'!$E$59)</x:f>
        <x:v>2155.6219646139034</x:v>
      </x:c>
      <x:c r="Z236" s="114" t="n">
        <x:f>Z188*(1-'Scenarios'!$E$59)</x:f>
        <x:v>2275.1896124677646</x:v>
      </x:c>
      <x:c r="AA236" s="114" t="n">
        <x:f>AA188*(1-'Scenarios'!$E$59)</x:f>
        <x:v>2435.4740838430866</x:v>
      </x:c>
      <x:c r="AB236" s="114" t="n">
        <x:f>AB188*(1-'Scenarios'!$E$59)</x:f>
        <x:v>2624.4350855046564</x:v>
      </x:c>
      <x:c r="AC236" s="114" t="n">
        <x:f>AC188*(1-'Scenarios'!$E$59)</x:f>
        <x:v>2774.6830690246106</x:v>
      </x:c>
      <x:c r="AD236" s="114" t="n">
        <x:f>AD188*(1-'Scenarios'!$E$59)</x:f>
        <x:v>2923.4285727093643</x:v>
      </x:c>
      <x:c r="AE236" s="114" t="n">
        <x:f>AE188*(1-'Scenarios'!$E$59)</x:f>
        <x:v>3070.686621357271</x:v>
      </x:c>
      <x:c r="AF236" s="114" t="n">
        <x:f>AF188*(1-'Scenarios'!$E$59)</x:f>
        <x:v>3216.472089518699</x:v>
      </x:c>
      <x:c r="AG236" s="114" t="n">
        <x:f>AG188*(1-'Scenarios'!$E$59)</x:f>
        <x:v>3360.7997029985117</x:v>
      </x:c>
      <x:c r="AH236" s="114" t="n">
        <x:f>AH188*(1-'Scenarios'!$E$59)</x:f>
        <x:v>3503.684040343527</x:v>
      </x:c>
      <x:c r="AI236" s="114" t="n">
        <x:f>AI188*(1-'Scenarios'!$E$59)</x:f>
        <x:v>3645.1395343150916</x:v>
      </x:c>
      <x:c r="AJ236" s="114" t="n">
        <x:f>AJ188*(1-'Scenarios'!$E$59)</x:f>
        <x:v>3785.1804733469407</x:v>
      </x:c>
      <x:c r="AK236" s="114" t="n">
        <x:f>AK188*(1-'Scenarios'!$E$59)</x:f>
        <x:v>3923.8210029884717</x:v>
      </x:c>
      <x:c r="AL236" s="114" t="n">
        <x:f>AL188*(1-'Scenarios'!$E$59)</x:f>
        <x:v>4061.0751273335873</x:v>
      </x:c>
    </x:row>
    <x:row r="237">
      <x:c r="A237" s="84" t="str">
        <x:v>Cumulative sponsor capital</x:v>
      </x:c>
      <x:c r="B237" s="84" t="str">
        <x:v>$</x:v>
      </x:c>
      <x:c r="C237" s="114" t="n">
        <x:f>C233</x:f>
        <x:v>5000</x:v>
      </x:c>
      <x:c r="D237" s="114" t="n">
        <x:f>C237+D233</x:f>
        <x:v>5000</x:v>
      </x:c>
      <x:c r="E237" s="114" t="n">
        <x:f>D237+E233</x:f>
        <x:v>5000</x:v>
      </x:c>
      <x:c r="F237" s="114" t="n">
        <x:f>E237+F233</x:f>
        <x:v>5000</x:v>
      </x:c>
      <x:c r="G237" s="114" t="n">
        <x:f>F237+G233</x:f>
        <x:v>5000</x:v>
      </x:c>
      <x:c r="H237" s="114" t="n">
        <x:f>G237+H233</x:f>
        <x:v>5000</x:v>
      </x:c>
      <x:c r="I237" s="114" t="n">
        <x:f>H237+I233</x:f>
        <x:v>20000</x:v>
      </x:c>
      <x:c r="J237" s="114" t="n">
        <x:f>I237+J233</x:f>
        <x:v>20000</x:v>
      </x:c>
      <x:c r="K237" s="114" t="n">
        <x:f>J237+K233</x:f>
        <x:v>20000</x:v>
      </x:c>
      <x:c r="L237" s="114" t="n">
        <x:f>K237+L233</x:f>
        <x:v>20000</x:v>
      </x:c>
      <x:c r="M237" s="114" t="n">
        <x:f>L237+M233</x:f>
        <x:v>20000</x:v>
      </x:c>
      <x:c r="N237" s="114" t="n">
        <x:f>M237+N233</x:f>
        <x:v>50000</x:v>
      </x:c>
      <x:c r="O237" s="114" t="n">
        <x:f>N237+O233</x:f>
        <x:v>50000</x:v>
      </x:c>
      <x:c r="P237" s="114" t="n">
        <x:f>O237+P233</x:f>
        <x:v>50000</x:v>
      </x:c>
      <x:c r="Q237" s="114" t="n">
        <x:f>P237+Q233</x:f>
        <x:v>50000</x:v>
      </x:c>
      <x:c r="R237" s="114" t="n">
        <x:f>Q237+R233</x:f>
        <x:v>50000</x:v>
      </x:c>
      <x:c r="S237" s="114" t="n">
        <x:f>R237+S233</x:f>
        <x:v>50000</x:v>
      </x:c>
      <x:c r="T237" s="114" t="n">
        <x:f>S237+T233</x:f>
        <x:v>50000</x:v>
      </x:c>
      <x:c r="U237" s="114" t="n">
        <x:f>T237+U233</x:f>
        <x:v>50000</x:v>
      </x:c>
      <x:c r="V237" s="114" t="n">
        <x:f>U237+V233</x:f>
        <x:v>50000</x:v>
      </x:c>
      <x:c r="W237" s="114" t="n">
        <x:f>V237+W233</x:f>
        <x:v>50000</x:v>
      </x:c>
      <x:c r="X237" s="114" t="n">
        <x:f>W237+X233</x:f>
        <x:v>50000</x:v>
      </x:c>
      <x:c r="Y237" s="114" t="n">
        <x:f>X237+Y233</x:f>
        <x:v>50000</x:v>
      </x:c>
      <x:c r="Z237" s="114" t="n">
        <x:f>Y237+Z233</x:f>
        <x:v>50000</x:v>
      </x:c>
      <x:c r="AA237" s="114" t="n">
        <x:f>Z237+AA233</x:f>
        <x:v>50000</x:v>
      </x:c>
      <x:c r="AB237" s="114" t="n">
        <x:f>AA237+AB233</x:f>
        <x:v>50000</x:v>
      </x:c>
      <x:c r="AC237" s="114" t="n">
        <x:f>AB237+AC233</x:f>
        <x:v>50000</x:v>
      </x:c>
      <x:c r="AD237" s="114" t="n">
        <x:f>AC237+AD233</x:f>
        <x:v>50000</x:v>
      </x:c>
      <x:c r="AE237" s="114" t="n">
        <x:f>AD237+AE233</x:f>
        <x:v>50000</x:v>
      </x:c>
      <x:c r="AF237" s="114" t="n">
        <x:f>AE237+AF233</x:f>
        <x:v>50000</x:v>
      </x:c>
      <x:c r="AG237" s="114" t="n">
        <x:f>AF237+AG233</x:f>
        <x:v>50000</x:v>
      </x:c>
      <x:c r="AH237" s="114" t="n">
        <x:f>AG237+AH233</x:f>
        <x:v>50000</x:v>
      </x:c>
      <x:c r="AI237" s="114" t="n">
        <x:f>AH237+AI233</x:f>
        <x:v>50000</x:v>
      </x:c>
      <x:c r="AJ237" s="114" t="n">
        <x:f>AI237+AJ233</x:f>
        <x:v>50000</x:v>
      </x:c>
      <x:c r="AK237" s="114" t="n">
        <x:f>AJ237+AK233</x:f>
        <x:v>50000</x:v>
      </x:c>
      <x:c r="AL237" s="114" t="n">
        <x:f>AK237+AL233</x:f>
        <x:v>50000</x:v>
      </x:c>
    </x:row>
    <x:row r="238">
      <x:c r="A238" s="63" t="str">
        <x:v>MODEL CHECKS</x:v>
      </x:c>
      <x:c r="B238" s="63" t="str"/>
      <x:c r="C238" s="112"/>
      <x:c r="D238" s="112"/>
      <x:c r="E238" s="112"/>
      <x:c r="F238" s="112"/>
      <x:c r="G238" s="112"/>
      <x:c r="H238" s="112"/>
      <x:c r="I238" s="112"/>
      <x:c r="J238" s="112"/>
      <x:c r="K238" s="112"/>
      <x:c r="L238" s="112"/>
      <x:c r="M238" s="112"/>
      <x:c r="N238" s="112"/>
      <x:c r="O238" s="112"/>
      <x:c r="P238" s="112"/>
      <x:c r="Q238" s="112"/>
      <x:c r="R238" s="112"/>
      <x:c r="S238" s="112"/>
      <x:c r="T238" s="112"/>
      <x:c r="U238" s="112"/>
      <x:c r="V238" s="112"/>
      <x:c r="W238" s="112"/>
      <x:c r="X238" s="112"/>
      <x:c r="Y238" s="112"/>
      <x:c r="Z238" s="112"/>
      <x:c r="AA238" s="112"/>
      <x:c r="AB238" s="112"/>
      <x:c r="AC238" s="112"/>
      <x:c r="AD238" s="112"/>
      <x:c r="AE238" s="112"/>
      <x:c r="AF238" s="112"/>
      <x:c r="AG238" s="112"/>
      <x:c r="AH238" s="112"/>
      <x:c r="AI238" s="112"/>
      <x:c r="AJ238" s="112"/>
      <x:c r="AK238" s="112"/>
      <x:c r="AL238" s="112"/>
    </x:row>
    <x:row r="239">
      <x:c r="A239" s="84" t="str">
        <x:v>Active-account roll-forward check</x:v>
      </x:c>
      <x:c r="B239" s="84" t="str">
        <x:v>check</x:v>
      </x:c>
      <x:c r="C239" s="113" t="n">
        <x:f>C173-C171</x:f>
        <x:v>0</x:v>
      </x:c>
      <x:c r="D239" s="113" t="n">
        <x:f>D173-(C173-D172+D171)</x:f>
        <x:v>0</x:v>
      </x:c>
      <x:c r="E239" s="113" t="n">
        <x:f>E173-(D173-E172+E171)</x:f>
        <x:v>0</x:v>
      </x:c>
      <x:c r="F239" s="113" t="n">
        <x:f>F173-(E173-F172+F171)</x:f>
        <x:v>0</x:v>
      </x:c>
      <x:c r="G239" s="113" t="n">
        <x:f>G173-(F173-G172+G171)</x:f>
        <x:v>0</x:v>
      </x:c>
      <x:c r="H239" s="113" t="n">
        <x:f>H173-(G173-H172+H171)</x:f>
        <x:v>0</x:v>
      </x:c>
      <x:c r="I239" s="113" t="n">
        <x:f>I173-(H173-I172+I171)</x:f>
        <x:v>0</x:v>
      </x:c>
      <x:c r="J239" s="113" t="n">
        <x:f>J173-(I173-J172+J171)</x:f>
        <x:v>0</x:v>
      </x:c>
      <x:c r="K239" s="113" t="n">
        <x:f>K173-(J173-K172+K171)</x:f>
        <x:v>0</x:v>
      </x:c>
      <x:c r="L239" s="113" t="n">
        <x:f>L173-(K173-L172+L171)</x:f>
        <x:v>0</x:v>
      </x:c>
      <x:c r="M239" s="113" t="n">
        <x:f>M173-(L173-M172+M171)</x:f>
        <x:v>0</x:v>
      </x:c>
      <x:c r="N239" s="113" t="n">
        <x:f>N173-(M173-N172+N171)</x:f>
        <x:v>0</x:v>
      </x:c>
      <x:c r="O239" s="113" t="n">
        <x:f>O173-(N173-O172+O171)</x:f>
        <x:v>0</x:v>
      </x:c>
      <x:c r="P239" s="113" t="n">
        <x:f>P173-(O173-P172+P171)</x:f>
        <x:v>0</x:v>
      </x:c>
      <x:c r="Q239" s="113" t="n">
        <x:f>Q173-(P173-Q172+Q171)</x:f>
        <x:v>0</x:v>
      </x:c>
      <x:c r="R239" s="113" t="n">
        <x:f>R173-(Q173-R172+R171)</x:f>
        <x:v>0</x:v>
      </x:c>
      <x:c r="S239" s="113" t="n">
        <x:f>S173-(R173-S172+S171)</x:f>
        <x:v>0</x:v>
      </x:c>
      <x:c r="T239" s="113" t="n">
        <x:f>T173-(S173-T172+T171)</x:f>
        <x:v>0</x:v>
      </x:c>
      <x:c r="U239" s="113" t="n">
        <x:f>U173-(T173-U172+U171)</x:f>
        <x:v>0</x:v>
      </x:c>
      <x:c r="V239" s="113" t="n">
        <x:f>V173-(U173-V172+V171)</x:f>
        <x:v>0</x:v>
      </x:c>
      <x:c r="W239" s="113" t="n">
        <x:f>W173-(V173-W172+W171)</x:f>
        <x:v>0</x:v>
      </x:c>
      <x:c r="X239" s="113" t="n">
        <x:f>X173-(W173-X172+X171)</x:f>
        <x:v>0</x:v>
      </x:c>
      <x:c r="Y239" s="113" t="n">
        <x:f>Y173-(X173-Y172+Y171)</x:f>
        <x:v>0</x:v>
      </x:c>
      <x:c r="Z239" s="113" t="n">
        <x:f>Z173-(Y173-Z172+Z171)</x:f>
        <x:v>0</x:v>
      </x:c>
      <x:c r="AA239" s="113" t="n">
        <x:f>AA173-(Z173-AA172+AA171)</x:f>
        <x:v>0</x:v>
      </x:c>
      <x:c r="AB239" s="113" t="n">
        <x:f>AB173-(AA173-AB172+AB171)</x:f>
        <x:v>0</x:v>
      </x:c>
      <x:c r="AC239" s="113" t="n">
        <x:f>AC173-(AB173-AC172+AC171)</x:f>
        <x:v>0</x:v>
      </x:c>
      <x:c r="AD239" s="113" t="n">
        <x:f>AD173-(AC173-AD172+AD171)</x:f>
        <x:v>0</x:v>
      </x:c>
      <x:c r="AE239" s="113" t="n">
        <x:f>AE173-(AD173-AE172+AE171)</x:f>
        <x:v>0</x:v>
      </x:c>
      <x:c r="AF239" s="113" t="n">
        <x:f>AF173-(AE173-AF172+AF171)</x:f>
        <x:v>0</x:v>
      </x:c>
      <x:c r="AG239" s="113" t="n">
        <x:f>AG173-(AF173-AG172+AG171)</x:f>
        <x:v>0</x:v>
      </x:c>
      <x:c r="AH239" s="113" t="n">
        <x:f>AH173-(AG173-AH172+AH171)</x:f>
        <x:v>0</x:v>
      </x:c>
      <x:c r="AI239" s="113" t="n">
        <x:f>AI173-(AH173-AI172+AI171)</x:f>
        <x:v>0</x:v>
      </x:c>
      <x:c r="AJ239" s="113" t="n">
        <x:f>AJ173-(AI173-AJ172+AJ171)</x:f>
        <x:v>0</x:v>
      </x:c>
      <x:c r="AK239" s="113" t="n">
        <x:f>AK173-(AJ173-AK172+AK171)</x:f>
        <x:v>0</x:v>
      </x:c>
      <x:c r="AL239" s="113" t="n">
        <x:f>AL173-(AK173-AL172+AL171)</x:f>
        <x:v>0</x:v>
      </x:c>
    </x:row>
    <x:row r="240">
      <x:c r="A240" s="84" t="str">
        <x:v>Revenue tie check</x:v>
      </x:c>
      <x:c r="B240" s="84" t="str">
        <x:v>check</x:v>
      </x:c>
      <x:c r="C240" s="113" t="n">
        <x:f>C188-SUM(C180:C186)</x:f>
        <x:v>0</x:v>
      </x:c>
      <x:c r="D240" s="113" t="n">
        <x:f>D188-SUM(D180:D186)</x:f>
        <x:v>0</x:v>
      </x:c>
      <x:c r="E240" s="113" t="n">
        <x:f>E188-SUM(E180:E186)</x:f>
        <x:v>0</x:v>
      </x:c>
      <x:c r="F240" s="113" t="n">
        <x:f>F188-SUM(F180:F186)</x:f>
        <x:v>0</x:v>
      </x:c>
      <x:c r="G240" s="113" t="n">
        <x:f>G188-SUM(G180:G186)</x:f>
        <x:v>0</x:v>
      </x:c>
      <x:c r="H240" s="113" t="n">
        <x:f>H188-SUM(H180:H186)</x:f>
        <x:v>0</x:v>
      </x:c>
      <x:c r="I240" s="113" t="n">
        <x:f>I188-SUM(I180:I186)</x:f>
        <x:v>0</x:v>
      </x:c>
      <x:c r="J240" s="113" t="n">
        <x:f>J188-SUM(J180:J186)</x:f>
        <x:v>0</x:v>
      </x:c>
      <x:c r="K240" s="113" t="n">
        <x:f>K188-SUM(K180:K186)</x:f>
        <x:v>0</x:v>
      </x:c>
      <x:c r="L240" s="113" t="n">
        <x:f>L188-SUM(L180:L186)</x:f>
        <x:v>0</x:v>
      </x:c>
      <x:c r="M240" s="113" t="n">
        <x:f>M188-SUM(M180:M186)</x:f>
        <x:v>0</x:v>
      </x:c>
      <x:c r="N240" s="113" t="n">
        <x:f>N188-SUM(N180:N186)</x:f>
        <x:v>0</x:v>
      </x:c>
      <x:c r="O240" s="113" t="n">
        <x:f>O188-SUM(O180:O186)</x:f>
        <x:v>0</x:v>
      </x:c>
      <x:c r="P240" s="113" t="n">
        <x:f>P188-SUM(P180:P186)</x:f>
        <x:v>0</x:v>
      </x:c>
      <x:c r="Q240" s="113" t="n">
        <x:f>Q188-SUM(Q180:Q186)</x:f>
        <x:v>0</x:v>
      </x:c>
      <x:c r="R240" s="113" t="n">
        <x:f>R188-SUM(R180:R186)</x:f>
        <x:v>0</x:v>
      </x:c>
      <x:c r="S240" s="113" t="n">
        <x:f>S188-SUM(S180:S186)</x:f>
        <x:v>0</x:v>
      </x:c>
      <x:c r="T240" s="113" t="n">
        <x:f>T188-SUM(T180:T186)</x:f>
        <x:v>0</x:v>
      </x:c>
      <x:c r="U240" s="113" t="n">
        <x:f>U188-SUM(U180:U186)</x:f>
        <x:v>0</x:v>
      </x:c>
      <x:c r="V240" s="113" t="n">
        <x:f>V188-SUM(V180:V186)</x:f>
        <x:v>0</x:v>
      </x:c>
      <x:c r="W240" s="113" t="n">
        <x:f>W188-SUM(W180:W186)</x:f>
        <x:v>0</x:v>
      </x:c>
      <x:c r="X240" s="113" t="n">
        <x:f>X188-SUM(X180:X186)</x:f>
        <x:v>0</x:v>
      </x:c>
      <x:c r="Y240" s="113" t="n">
        <x:f>Y188-SUM(Y180:Y186)</x:f>
        <x:v>0</x:v>
      </x:c>
      <x:c r="Z240" s="113" t="n">
        <x:f>Z188-SUM(Z180:Z186)</x:f>
        <x:v>0</x:v>
      </x:c>
      <x:c r="AA240" s="113" t="n">
        <x:f>AA188-SUM(AA180:AA186)</x:f>
        <x:v>0</x:v>
      </x:c>
      <x:c r="AB240" s="113" t="n">
        <x:f>AB188-SUM(AB180:AB186)</x:f>
        <x:v>0</x:v>
      </x:c>
      <x:c r="AC240" s="113" t="n">
        <x:f>AC188-SUM(AC180:AC186)</x:f>
        <x:v>0</x:v>
      </x:c>
      <x:c r="AD240" s="113" t="n">
        <x:f>AD188-SUM(AD180:AD186)</x:f>
        <x:v>0</x:v>
      </x:c>
      <x:c r="AE240" s="113" t="n">
        <x:f>AE188-SUM(AE180:AE186)</x:f>
        <x:v>0</x:v>
      </x:c>
      <x:c r="AF240" s="113" t="n">
        <x:f>AF188-SUM(AF180:AF186)</x:f>
        <x:v>0</x:v>
      </x:c>
      <x:c r="AG240" s="113" t="n">
        <x:f>AG188-SUM(AG180:AG186)</x:f>
        <x:v>0</x:v>
      </x:c>
      <x:c r="AH240" s="113" t="n">
        <x:f>AH188-SUM(AH180:AH186)</x:f>
        <x:v>0</x:v>
      </x:c>
      <x:c r="AI240" s="113" t="n">
        <x:f>AI188-SUM(AI180:AI186)</x:f>
        <x:v>0</x:v>
      </x:c>
      <x:c r="AJ240" s="113" t="n">
        <x:f>AJ188-SUM(AJ180:AJ186)</x:f>
        <x:v>0</x:v>
      </x:c>
      <x:c r="AK240" s="113" t="n">
        <x:f>AK188-SUM(AK180:AK186)</x:f>
        <x:v>0</x:v>
      </x:c>
      <x:c r="AL240" s="113" t="n">
        <x:f>AL188-SUM(AL180:AL186)</x:f>
        <x:v>0</x:v>
      </x:c>
    </x:row>
    <x:row r="241">
      <x:c r="A241" s="84" t="str">
        <x:v>Capacity allocation check</x:v>
      </x:c>
      <x:c r="B241" s="84" t="str">
        <x:v>check</x:v>
      </x:c>
      <x:c r="C241" s="113" t="n">
        <x:f>C197-SUM(C199,C201,C202)</x:f>
        <x:v>0</x:v>
      </x:c>
      <x:c r="D241" s="113" t="n">
        <x:f>D197-SUM(D199,D201,D202)</x:f>
        <x:v>0</x:v>
      </x:c>
      <x:c r="E241" s="113" t="n">
        <x:f>E197-SUM(E199,E201,E202)</x:f>
        <x:v>0</x:v>
      </x:c>
      <x:c r="F241" s="113" t="n">
        <x:f>F197-SUM(F199,F201,F202)</x:f>
        <x:v>0</x:v>
      </x:c>
      <x:c r="G241" s="113" t="n">
        <x:f>G197-SUM(G199,G201,G202)</x:f>
        <x:v>0</x:v>
      </x:c>
      <x:c r="H241" s="113" t="n">
        <x:f>H197-SUM(H199,H201,H202)</x:f>
        <x:v>0</x:v>
      </x:c>
      <x:c r="I241" s="113" t="n">
        <x:f>I197-SUM(I199,I201,I202)</x:f>
        <x:v>0</x:v>
      </x:c>
      <x:c r="J241" s="113" t="n">
        <x:f>J197-SUM(J199,J201,J202)</x:f>
        <x:v>0</x:v>
      </x:c>
      <x:c r="K241" s="113" t="n">
        <x:f>K197-SUM(K199,K201,K202)</x:f>
        <x:v>0</x:v>
      </x:c>
      <x:c r="L241" s="113" t="n">
        <x:f>L197-SUM(L199,L201,L202)</x:f>
        <x:v>0</x:v>
      </x:c>
      <x:c r="M241" s="113" t="n">
        <x:f>M197-SUM(M199,M201,M202)</x:f>
        <x:v>0</x:v>
      </x:c>
      <x:c r="N241" s="113" t="n">
        <x:f>N197-SUM(N199,N201,N202)</x:f>
        <x:v>0</x:v>
      </x:c>
      <x:c r="O241" s="113" t="n">
        <x:f>O197-SUM(O199,O201,O202)</x:f>
        <x:v>0</x:v>
      </x:c>
      <x:c r="P241" s="113" t="n">
        <x:f>P197-SUM(P199,P201,P202)</x:f>
        <x:v>0</x:v>
      </x:c>
      <x:c r="Q241" s="113" t="n">
        <x:f>Q197-SUM(Q199,Q201,Q202)</x:f>
        <x:v>0</x:v>
      </x:c>
      <x:c r="R241" s="113" t="n">
        <x:f>R197-SUM(R199,R201,R202)</x:f>
        <x:v>0</x:v>
      </x:c>
      <x:c r="S241" s="113" t="n">
        <x:f>S197-SUM(S199,S201,S202)</x:f>
        <x:v>0</x:v>
      </x:c>
      <x:c r="T241" s="113" t="n">
        <x:f>T197-SUM(T199,T201,T202)</x:f>
        <x:v>0</x:v>
      </x:c>
      <x:c r="U241" s="113" t="n">
        <x:f>U197-SUM(U199,U201,U202)</x:f>
        <x:v>0</x:v>
      </x:c>
      <x:c r="V241" s="113" t="n">
        <x:f>V197-SUM(V199,V201,V202)</x:f>
        <x:v>0</x:v>
      </x:c>
      <x:c r="W241" s="113" t="n">
        <x:f>W197-SUM(W199,W201,W202)</x:f>
        <x:v>0</x:v>
      </x:c>
      <x:c r="X241" s="113" t="n">
        <x:f>X197-SUM(X199,X201,X202)</x:f>
        <x:v>0</x:v>
      </x:c>
      <x:c r="Y241" s="113" t="n">
        <x:f>Y197-SUM(Y199,Y201,Y202)</x:f>
        <x:v>0</x:v>
      </x:c>
      <x:c r="Z241" s="113" t="n">
        <x:f>Z197-SUM(Z199,Z201,Z202)</x:f>
        <x:v>0</x:v>
      </x:c>
      <x:c r="AA241" s="113" t="n">
        <x:f>AA197-SUM(AA199,AA201,AA202)</x:f>
        <x:v>0</x:v>
      </x:c>
      <x:c r="AB241" s="113" t="n">
        <x:f>AB197-SUM(AB199,AB201,AB202)</x:f>
        <x:v>0</x:v>
      </x:c>
      <x:c r="AC241" s="113" t="n">
        <x:f>AC197-SUM(AC199,AC201,AC202)</x:f>
        <x:v>0</x:v>
      </x:c>
      <x:c r="AD241" s="113" t="n">
        <x:f>AD197-SUM(AD199,AD201,AD202)</x:f>
        <x:v>0</x:v>
      </x:c>
      <x:c r="AE241" s="113" t="n">
        <x:f>AE197-SUM(AE199,AE201,AE202)</x:f>
        <x:v>0</x:v>
      </x:c>
      <x:c r="AF241" s="113" t="n">
        <x:f>AF197-SUM(AF199,AF201,AF202)</x:f>
        <x:v>0</x:v>
      </x:c>
      <x:c r="AG241" s="113" t="n">
        <x:f>AG197-SUM(AG199,AG201,AG202)</x:f>
        <x:v>0</x:v>
      </x:c>
      <x:c r="AH241" s="113" t="n">
        <x:f>AH197-SUM(AH199,AH201,AH202)</x:f>
        <x:v>0</x:v>
      </x:c>
      <x:c r="AI241" s="113" t="n">
        <x:f>AI197-SUM(AI199,AI201,AI202)</x:f>
        <x:v>0</x:v>
      </x:c>
      <x:c r="AJ241" s="113" t="n">
        <x:f>AJ197-SUM(AJ199,AJ201,AJ202)</x:f>
        <x:v>0</x:v>
      </x:c>
      <x:c r="AK241" s="113" t="n">
        <x:f>AK197-SUM(AK199,AK201,AK202)</x:f>
        <x:v>0</x:v>
      </x:c>
      <x:c r="AL241" s="113" t="n">
        <x:f>AL197-SUM(AL199,AL201,AL202)</x:f>
        <x:v>0</x:v>
      </x:c>
    </x:row>
    <x:row r="242">
      <x:c r="A242" s="84" t="str">
        <x:v>Cash roll-forward check</x:v>
      </x:c>
      <x:c r="B242" s="84" t="str">
        <x:v>check</x:v>
      </x:c>
      <x:c r="C242" s="113" t="n">
        <x:f>C235-(C234+C230-C231+C233)</x:f>
        <x:v>0</x:v>
      </x:c>
      <x:c r="D242" s="113" t="n">
        <x:f>D235-(D234+D230-D231+D233)</x:f>
        <x:v>0</x:v>
      </x:c>
      <x:c r="E242" s="113" t="n">
        <x:f>E235-(E234+E230-E231+E233)</x:f>
        <x:v>0</x:v>
      </x:c>
      <x:c r="F242" s="113" t="n">
        <x:f>F235-(F234+F230-F231+F233)</x:f>
        <x:v>0</x:v>
      </x:c>
      <x:c r="G242" s="113" t="n">
        <x:f>G235-(G234+G230-G231+G233)</x:f>
        <x:v>0</x:v>
      </x:c>
      <x:c r="H242" s="113" t="n">
        <x:f>H235-(H234+H230-H231+H233)</x:f>
        <x:v>0</x:v>
      </x:c>
      <x:c r="I242" s="113" t="n">
        <x:f>I235-(I234+I230-I231+I233)</x:f>
        <x:v>0</x:v>
      </x:c>
      <x:c r="J242" s="113" t="n">
        <x:f>J235-(J234+J230-J231+J233)</x:f>
        <x:v>0</x:v>
      </x:c>
      <x:c r="K242" s="113" t="n">
        <x:f>K235-(K234+K230-K231+K233)</x:f>
        <x:v>0</x:v>
      </x:c>
      <x:c r="L242" s="113" t="n">
        <x:f>L235-(L234+L230-L231+L233)</x:f>
        <x:v>0</x:v>
      </x:c>
      <x:c r="M242" s="113" t="n">
        <x:f>M235-(M234+M230-M231+M233)</x:f>
        <x:v>0</x:v>
      </x:c>
      <x:c r="N242" s="113" t="n">
        <x:f>N235-(N234+N230-N231+N233)</x:f>
        <x:v>0</x:v>
      </x:c>
      <x:c r="O242" s="113" t="n">
        <x:f>O235-(O234+O230-O231+O233)</x:f>
        <x:v>0</x:v>
      </x:c>
      <x:c r="P242" s="113" t="n">
        <x:f>P235-(P234+P230-P231+P233)</x:f>
        <x:v>0</x:v>
      </x:c>
      <x:c r="Q242" s="113" t="n">
        <x:f>Q235-(Q234+Q230-Q231+Q233)</x:f>
        <x:v>0</x:v>
      </x:c>
      <x:c r="R242" s="113" t="n">
        <x:f>R235-(R234+R230-R231+R233)</x:f>
        <x:v>0</x:v>
      </x:c>
      <x:c r="S242" s="113" t="n">
        <x:f>S235-(S234+S230-S231+S233)</x:f>
        <x:v>0</x:v>
      </x:c>
      <x:c r="T242" s="113" t="n">
        <x:f>T235-(T234+T230-T231+T233)</x:f>
        <x:v>0</x:v>
      </x:c>
      <x:c r="U242" s="113" t="n">
        <x:f>U235-(U234+U230-U231+U233)</x:f>
        <x:v>0</x:v>
      </x:c>
      <x:c r="V242" s="113" t="n">
        <x:f>V235-(V234+V230-V231+V233)</x:f>
        <x:v>0</x:v>
      </x:c>
      <x:c r="W242" s="113" t="n">
        <x:f>W235-(W234+W230-W231+W233)</x:f>
        <x:v>0</x:v>
      </x:c>
      <x:c r="X242" s="113" t="n">
        <x:f>X235-(X234+X230-X231+X233)</x:f>
        <x:v>0</x:v>
      </x:c>
      <x:c r="Y242" s="113" t="n">
        <x:f>Y235-(Y234+Y230-Y231+Y233)</x:f>
        <x:v>0</x:v>
      </x:c>
      <x:c r="Z242" s="113" t="n">
        <x:f>Z235-(Z234+Z230-Z231+Z233)</x:f>
        <x:v>0</x:v>
      </x:c>
      <x:c r="AA242" s="113" t="n">
        <x:f>AA235-(AA234+AA230-AA231+AA233)</x:f>
        <x:v>0</x:v>
      </x:c>
      <x:c r="AB242" s="113" t="n">
        <x:f>AB235-(AB234+AB230-AB231+AB233)</x:f>
        <x:v>0</x:v>
      </x:c>
      <x:c r="AC242" s="113" t="n">
        <x:f>AC235-(AC234+AC230-AC231+AC233)</x:f>
        <x:v>0</x:v>
      </x:c>
      <x:c r="AD242" s="113" t="n">
        <x:f>AD235-(AD234+AD230-AD231+AD233)</x:f>
        <x:v>0</x:v>
      </x:c>
      <x:c r="AE242" s="113" t="n">
        <x:f>AE235-(AE234+AE230-AE231+AE233)</x:f>
        <x:v>0</x:v>
      </x:c>
      <x:c r="AF242" s="113" t="n">
        <x:f>AF235-(AF234+AF230-AF231+AF233)</x:f>
        <x:v>0</x:v>
      </x:c>
      <x:c r="AG242" s="113" t="n">
        <x:f>AG235-(AG234+AG230-AG231+AG233)</x:f>
        <x:v>0</x:v>
      </x:c>
      <x:c r="AH242" s="113" t="n">
        <x:f>AH235-(AH234+AH230-AH231+AH233)</x:f>
        <x:v>0</x:v>
      </x:c>
      <x:c r="AI242" s="113" t="n">
        <x:f>AI235-(AI234+AI230-AI231+AI233)</x:f>
        <x:v>0</x:v>
      </x:c>
      <x:c r="AJ242" s="113" t="n">
        <x:f>AJ235-(AJ234+AJ230-AJ231+AJ233)</x:f>
        <x:v>0</x:v>
      </x:c>
      <x:c r="AK242" s="113" t="n">
        <x:f>AK235-(AK234+AK230-AK231+AK233)</x:f>
        <x:v>0</x:v>
      </x:c>
      <x:c r="AL242" s="113" t="n">
        <x:f>AL235-(AL234+AL230-AL231+AL233)</x:f>
        <x:v>0</x:v>
      </x:c>
    </x:row>
  </x:sheetData>
  <x:mergeCells>
    <x:mergeCell ref="A1:AL1"/>
    <x:mergeCell ref="B2:AL2"/>
    <x:mergeCell ref="A4:AL4"/>
    <x:mergeCell ref="A84:AL84"/>
    <x:mergeCell ref="A164:AL16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32" customHeight="1">
      <x:c r="A1" s="3" t="str">
        <x:v>DIRTYWORKS.AI / UNIT ECONOMICS</x:v>
      </x:c>
      <x:c r="B1" s="3"/>
      <x:c r="C1" s="3"/>
      <x:c r="D1" s="3"/>
      <x:c r="E1" s="3"/>
      <x:c r="F1" s="3"/>
      <x:c r="G1" s="3"/>
      <x:c r="H1" s="3"/>
      <x:c r="I1" s="84"/>
      <x:c r="J1" s="84"/>
      <x:c r="K1" s="84"/>
      <x:c r="L1" s="84"/>
    </x:row>
    <x:row r="2" ht="30" customHeight="1">
      <x:c r="A2" s="91" t="str">
        <x:v>Active case is controlled on Assumptions!B4. Normalized margin includes founder delivery time at a loaded economic rate.</x:v>
      </x:c>
      <x:c r="B2" s="91"/>
      <x:c r="C2" s="91"/>
      <x:c r="D2" s="91"/>
      <x:c r="E2" s="91"/>
      <x:c r="F2" s="91"/>
      <x:c r="G2" s="91"/>
      <x:c r="H2" s="91"/>
      <x:c r="I2" s="84"/>
      <x:c r="J2" s="84"/>
      <x:c r="K2" s="84"/>
      <x:c r="L2" s="84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</x:row>
    <x:row r="4">
      <x:c r="A4" s="84" t="str">
        <x:v>Active scenario</x:v>
      </x:c>
      <x:c r="B4" s="86" t="str">
        <x:f>'Assumptions'!$B$4</x:f>
        <x:v>Base</x:v>
      </x:c>
      <x:c r="C4" s="84"/>
      <x:c r="D4" s="84"/>
      <x:c r="E4" s="84"/>
      <x:c r="F4" s="84"/>
      <x:c r="G4" s="84"/>
      <x:c r="H4" s="84"/>
      <x:c r="I4" s="84"/>
      <x:c r="J4" s="84"/>
      <x:c r="K4" s="84"/>
      <x:c r="L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</x:row>
    <x:row r="6">
      <x:c r="A6" s="15" t="str">
        <x:v>Offer</x:v>
      </x:c>
      <x:c r="B6" s="16" t="str">
        <x:v>Direct price</x:v>
      </x:c>
      <x:c r="C6" s="16" t="str">
        <x:v>Channel price</x:v>
      </x:c>
      <x:c r="D6" s="16" t="str">
        <x:v>Delivery hours</x:v>
      </x:c>
      <x:c r="E6" s="16" t="str">
        <x:v>Founder labour</x:v>
      </x:c>
      <x:c r="F6" s="16" t="str">
        <x:v>Direct platform</x:v>
      </x:c>
      <x:c r="G6" s="16" t="str">
        <x:v>Payment reserve</x:v>
      </x:c>
      <x:c r="H6" s="16" t="str">
        <x:v>Direct normalized GM</x:v>
      </x:c>
      <x:c r="I6" s="16" t="str">
        <x:v>Channel normalized GM</x:v>
      </x:c>
      <x:c r="J6" s="16" t="str">
        <x:v>Target</x:v>
      </x:c>
      <x:c r="K6" s="16" t="str">
        <x:v>Direct status</x:v>
      </x:c>
      <x:c r="L6" s="17" t="str">
        <x:v>Channel status</x:v>
      </x:c>
    </x:row>
    <x:row r="7">
      <x:c r="A7" s="84" t="str">
        <x:v>Knowledge Reliability Review</x:v>
      </x:c>
      <x:c r="B7" s="104" t="n">
        <x:f>'Assumptions'!$B$11*'Assumptions'!$B$7</x:f>
        <x:v>2500</x:v>
      </x:c>
      <x:c r="C7" s="104" t="n">
        <x:f>B7*(1-'Assumptions'!$B$9)</x:f>
        <x:v>1875</x:v>
      </x:c>
      <x:c r="D7" s="101" t="n">
        <x:f>'Assumptions'!$B$42*'Assumptions'!$B$49</x:f>
        <x:v>8</x:v>
      </x:c>
      <x:c r="E7" s="104" t="n">
        <x:f>D7*'Assumptions'!$B$35</x:f>
        <x:v>1000</x:v>
      </x:c>
      <x:c r="F7" s="104" t="n">
        <x:f>0</x:f>
        <x:v>0</x:v>
      </x:c>
      <x:c r="G7" s="104" t="n">
        <x:f>B7*'Assumptions'!$B$51</x:f>
        <x:v>62.5</x:v>
      </x:c>
      <x:c r="H7" s="103" t="n">
        <x:f>IF(B7=0,0,(B7-E7-F7-G7)/B7)</x:f>
        <x:v>0.575</x:v>
      </x:c>
      <x:c r="I7" s="103" t="n">
        <x:f>IF(C7=0,0,(C7-E7-F7-C7*'Assumptions'!$B$51)/C7)</x:f>
        <x:v>0.44166666666666665</x:v>
      </x:c>
      <x:c r="J7" s="120" t="n">
        <x:v>0.6</x:v>
      </x:c>
      <x:c r="K7" s="84" t="str">
        <x:f>IF(H7&gt;=J7,"PASS","REDESIGN")</x:f>
        <x:v>REDESIGN</x:v>
      </x:c>
      <x:c r="L7" s="84" t="str">
        <x:f>IF(I7&gt;=MAX(50%,J7-10%),"PASS","REDESIGN")</x:f>
        <x:v>REDESIGN</x:v>
      </x:c>
    </x:row>
    <x:row r="8">
      <x:c r="A8" s="84" t="str">
        <x:v>Managed Knowledge Launch</x:v>
      </x:c>
      <x:c r="B8" s="104" t="n">
        <x:f>'Assumptions'!$B$12*'Assumptions'!$B$7</x:f>
        <x:v>9500</x:v>
      </x:c>
      <x:c r="C8" s="104" t="n">
        <x:f>B8*(1-'Assumptions'!$B$9)</x:f>
        <x:v>7125</x:v>
      </x:c>
      <x:c r="D8" s="101" t="n">
        <x:f>'Assumptions'!$B$43*'Assumptions'!$B$49</x:f>
        <x:v>40</x:v>
      </x:c>
      <x:c r="E8" s="104" t="n">
        <x:f>D8*'Assumptions'!$B$35</x:f>
        <x:v>5000</x:v>
      </x:c>
      <x:c r="F8" s="104" t="n">
        <x:f>0</x:f>
        <x:v>0</x:v>
      </x:c>
      <x:c r="G8" s="104" t="n">
        <x:f>B8*'Assumptions'!$B$51</x:f>
        <x:v>237.5</x:v>
      </x:c>
      <x:c r="H8" s="103" t="n">
        <x:f>IF(B8=0,0,(B8-E8-F8-G8)/B8)</x:f>
        <x:v>0.4486842105263158</x:v>
      </x:c>
      <x:c r="I8" s="103" t="n">
        <x:f>IF(C8=0,0,(C8-E8-F8-C8*'Assumptions'!$B$51)/C8)</x:f>
        <x:v>0.27324561403508774</x:v>
      </x:c>
      <x:c r="J8" s="120" t="n">
        <x:v>0.5</x:v>
      </x:c>
      <x:c r="K8" s="84" t="str">
        <x:f>IF(H8&gt;=J8,"PASS","REDESIGN")</x:f>
        <x:v>REDESIGN</x:v>
      </x:c>
      <x:c r="L8" s="84" t="str">
        <x:f>IF(I8&gt;=MAX(50%,J8-10%),"PASS","REDESIGN")</x:f>
        <x:v>REDESIGN</x:v>
      </x:c>
    </x:row>
    <x:row r="9">
      <x:c r="A9" s="84" t="str">
        <x:v>Knowledge Operations — Core</x:v>
      </x:c>
      <x:c r="B9" s="104" t="n">
        <x:f>'Assumptions'!$B$13*'Assumptions'!$B$7</x:f>
        <x:v>2500</x:v>
      </x:c>
      <x:c r="C9" s="104" t="n">
        <x:f>B9*(1-'Assumptions'!$B$9)</x:f>
        <x:v>1875</x:v>
      </x:c>
      <x:c r="D9" s="101" t="n">
        <x:f>'Assumptions'!$B$44*'Assumptions'!$B$49</x:f>
        <x:v>7</x:v>
      </x:c>
      <x:c r="E9" s="104" t="n">
        <x:f>D9*'Assumptions'!$B$35</x:f>
        <x:v>875</x:v>
      </x:c>
      <x:c r="F9" s="104" t="n">
        <x:f>'Assumptions'!$B$50</x:f>
        <x:v>150</x:v>
      </x:c>
      <x:c r="G9" s="104" t="n">
        <x:f>B9*'Assumptions'!$B$51</x:f>
        <x:v>62.5</x:v>
      </x:c>
      <x:c r="H9" s="103" t="n">
        <x:f>IF(B9=0,0,(B9-E9-F9-G9)/B9)</x:f>
        <x:v>0.565</x:v>
      </x:c>
      <x:c r="I9" s="103" t="n">
        <x:f>IF(C9=0,0,(C9-E9-F9-C9*'Assumptions'!$B$51)/C9)</x:f>
        <x:v>0.42833333333333334</x:v>
      </x:c>
      <x:c r="J9" s="120" t="n">
        <x:v>0.6</x:v>
      </x:c>
      <x:c r="K9" s="84" t="str">
        <x:f>IF(H9&gt;=J9,"PASS","REDESIGN")</x:f>
        <x:v>REDESIGN</x:v>
      </x:c>
      <x:c r="L9" s="84" t="str">
        <x:f>IF(I9&gt;=MAX(50%,J9-10%),"PASS","REDESIGN")</x:f>
        <x:v>REDESIGN</x:v>
      </x:c>
    </x:row>
    <x:row r="10">
      <x:c r="A10" s="84" t="str">
        <x:v>Knowledge Operations — Operate</x:v>
      </x:c>
      <x:c r="B10" s="104" t="n">
        <x:f>'Assumptions'!$B$14*'Assumptions'!$B$7</x:f>
        <x:v>4500</x:v>
      </x:c>
      <x:c r="C10" s="104" t="n">
        <x:f>B10*(1-'Assumptions'!$B$9)</x:f>
        <x:v>3375</x:v>
      </x:c>
      <x:c r="D10" s="101" t="n">
        <x:f>'Assumptions'!$B$45*'Assumptions'!$B$49</x:f>
        <x:v>12</x:v>
      </x:c>
      <x:c r="E10" s="104" t="n">
        <x:f>D10*'Assumptions'!$B$35</x:f>
        <x:v>1500</x:v>
      </x:c>
      <x:c r="F10" s="104" t="n">
        <x:f>'Assumptions'!$B$50</x:f>
        <x:v>150</x:v>
      </x:c>
      <x:c r="G10" s="104" t="n">
        <x:f>B10*'Assumptions'!$B$51</x:f>
        <x:v>112.5</x:v>
      </x:c>
      <x:c r="H10" s="103" t="n">
        <x:f>IF(B10=0,0,(B10-E10-F10-G10)/B10)</x:f>
        <x:v>0.6083333333333333</x:v>
      </x:c>
      <x:c r="I10" s="103" t="n">
        <x:f>IF(C10=0,0,(C10-E10-F10-C10*'Assumptions'!$B$51)/C10)</x:f>
        <x:v>0.4861111111111111</x:v>
      </x:c>
      <x:c r="J10" s="120" t="n">
        <x:v>0.6</x:v>
      </x:c>
      <x:c r="K10" s="84" t="str">
        <x:f>IF(H10&gt;=J10,"PASS","REDESIGN")</x:f>
        <x:v>PASS</x:v>
      </x:c>
      <x:c r="L10" s="84" t="str">
        <x:f>IF(I10&gt;=MAX(50%,J10-10%),"PASS","REDESIGN")</x:f>
        <x:v>REDESIGN</x:v>
      </x:c>
    </x:row>
    <x:row r="11">
      <x:c r="A11" s="84" t="str">
        <x:v>Knowledge Operations — Scale</x:v>
      </x:c>
      <x:c r="B11" s="104" t="n">
        <x:f>'Assumptions'!$B$15*'Assumptions'!$B$7</x:f>
        <x:v>7500</x:v>
      </x:c>
      <x:c r="C11" s="104" t="n">
        <x:f>B11*(1-'Assumptions'!$B$9)</x:f>
        <x:v>5625</x:v>
      </x:c>
      <x:c r="D11" s="101" t="n">
        <x:f>'Assumptions'!$B$46*'Assumptions'!$B$49</x:f>
        <x:v>20</x:v>
      </x:c>
      <x:c r="E11" s="104" t="n">
        <x:f>D11*'Assumptions'!$B$35</x:f>
        <x:v>2500</x:v>
      </x:c>
      <x:c r="F11" s="104" t="n">
        <x:f>'Assumptions'!$B$50</x:f>
        <x:v>150</x:v>
      </x:c>
      <x:c r="G11" s="104" t="n">
        <x:f>B11*'Assumptions'!$B$51</x:f>
        <x:v>187.5</x:v>
      </x:c>
      <x:c r="H11" s="103" t="n">
        <x:f>IF(B11=0,0,(B11-E11-F11-G11)/B11)</x:f>
        <x:v>0.6216666666666667</x:v>
      </x:c>
      <x:c r="I11" s="103" t="n">
        <x:f>IF(C11=0,0,(C11-E11-F11-C11*'Assumptions'!$B$51)/C11)</x:f>
        <x:v>0.5038888888888889</x:v>
      </x:c>
      <x:c r="J11" s="120" t="n">
        <x:v>0.6</x:v>
      </x:c>
      <x:c r="K11" s="84" t="str">
        <x:f>IF(H11&gt;=J11,"PASS","REDESIGN")</x:f>
        <x:v>PASS</x:v>
      </x:c>
      <x:c r="L11" s="84" t="str">
        <x:f>IF(I11&gt;=MAX(50%,J11-10%),"PASS","REDESIGN")</x:f>
        <x:v>PASS</x:v>
      </x:c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  <x:c r="K13" s="84"/>
      <x:c r="L13" s="84"/>
    </x:row>
    <x:row r="14" ht="22" customHeight="1">
      <x:c r="A14" s="63" t="str">
        <x:v>INTERPRETATION</x:v>
      </x:c>
      <x:c r="B14" s="63" t="str">
        <x:v>INTERPRETATION</x:v>
      </x:c>
      <x:c r="C14" s="63" t="str">
        <x:v>INTERPRETATION</x:v>
      </x:c>
      <x:c r="D14" s="63" t="str">
        <x:v>INTERPRETATION</x:v>
      </x:c>
      <x:c r="E14" s="63" t="str">
        <x:v>INTERPRETATION</x:v>
      </x:c>
      <x:c r="F14" s="63" t="str">
        <x:v>INTERPRETATION</x:v>
      </x:c>
      <x:c r="G14" s="63" t="str">
        <x:v>INTERPRETATION</x:v>
      </x:c>
      <x:c r="H14" s="63" t="str">
        <x:v>INTERPRETATION</x:v>
      </x:c>
      <x:c r="I14" s="63" t="str">
        <x:v>INTERPRETATION</x:v>
      </x:c>
      <x:c r="J14" s="63" t="str">
        <x:v>INTERPRETATION</x:v>
      </x:c>
      <x:c r="K14" s="63" t="str">
        <x:v>INTERPRETATION</x:v>
      </x:c>
      <x:c r="L14" s="63" t="str">
        <x:v>INTERPRETATION</x:v>
      </x:c>
    </x:row>
    <x:row r="15">
      <x:c r="A15" s="121" t="str">
        <x:v>Direct margin tests whether the offer pays for delivery before overhead. Channel margin assumes the active scenario's average discount but no labour reduction.</x:v>
      </x:c>
      <x:c r="B15" s="121"/>
      <x:c r="C15" s="121"/>
      <x:c r="D15" s="121"/>
      <x:c r="E15" s="121"/>
      <x:c r="F15" s="121"/>
      <x:c r="G15" s="121"/>
      <x:c r="H15" s="121"/>
      <x:c r="I15" s="121"/>
      <x:c r="J15" s="121"/>
      <x:c r="K15" s="121"/>
      <x:c r="L15" s="121"/>
    </x:row>
    <x:row r="16">
      <x:c r="A16" s="121" t="str">
        <x:v>The launch target is 50% after the second deployment; the first launch may pass at 40% if the rework produces reusable operating assets.</x:v>
      </x:c>
      <x:c r="B16" s="121"/>
      <x:c r="C16" s="121"/>
      <x:c r="D16" s="121"/>
      <x:c r="E16" s="121"/>
      <x:c r="F16" s="121"/>
      <x:c r="G16" s="121"/>
      <x:c r="H16" s="121"/>
      <x:c r="I16" s="121"/>
      <x:c r="J16" s="121"/>
      <x:c r="K16" s="121"/>
      <x:c r="L16" s="121"/>
    </x:row>
    <x:row r="17">
      <x:c r="A17" s="121" t="str">
        <x:v>A channel package below 50% normalized margin is not automatically rejected, but it requires measured acquisition/support savings or a smaller discount.</x:v>
      </x:c>
      <x:c r="B17" s="121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</x:row>
    <x:row r="18">
      <x:c r="A18" s="121" t="str">
        <x:v>Founder cash compensation and founder economic cost are separate views. Never add both when assessing normalized profitability.</x:v>
      </x:c>
      <x:c r="B18" s="121"/>
      <x:c r="C18" s="121"/>
      <x:c r="D18" s="121"/>
      <x:c r="E18" s="121"/>
      <x:c r="F18" s="121"/>
      <x:c r="G18" s="121"/>
      <x:c r="H18" s="121"/>
      <x:c r="I18" s="121"/>
      <x:c r="J18" s="121"/>
      <x:c r="K18" s="121"/>
      <x:c r="L18" s="121"/>
    </x:row>
  </x:sheetData>
  <x:mergeCells>
    <x:mergeCell ref="A1:H1"/>
    <x:mergeCell ref="A2:H2"/>
    <x:mergeCell ref="A14:L14"/>
    <x:mergeCell ref="A15:L15"/>
    <x:mergeCell ref="A16:L16"/>
    <x:mergeCell ref="A17:L17"/>
    <x:mergeCell ref="A18:L18"/>
  </x:mergeCells>
  <x:conditionalFormatting sqref="K7:L11">
    <x:cfRule type="containsText" dxfId="0" priority="1" operator="containsText" text="PASS"/>
    <x:cfRule type="containsText" dxfId="1" priority="2" operator="containsText" text="REDESIGN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0" hidden="0" customWidth="1"/>
    <x:col min="5" max="5" width="24" hidden="0" customWidth="1"/>
    <x:col min="6" max="6" width="24" hidden="0" customWidth="1"/>
  </x:cols>
  <x:sheetData>
    <x:row r="1" ht="32" customHeight="1">
      <x:c r="A1" s="3" t="str">
        <x:v>DIRTYWORKS.AI / CHANNEL ECONOMICS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91" t="str">
        <x:v>Editable blue partner assumptions compare direct, referral, co-managed, and white-label structures against the active case.</x:v>
      </x:c>
      <x:c r="B2" s="91"/>
      <x:c r="C2" s="91"/>
      <x:c r="D2" s="91"/>
      <x:c r="E2" s="91"/>
      <x:c r="F2" s="91"/>
      <x:c r="G2" s="91"/>
      <x:c r="H2" s="91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>
      <x:c r="A4" s="84" t="str">
        <x:v>Active scenario</x:v>
      </x:c>
      <x:c r="B4" s="86" t="str">
        <x:f>'Assumptions'!$B$4</x:f>
        <x:v>Base</x:v>
      </x:c>
      <x:c r="C4" s="84"/>
      <x:c r="D4" s="84"/>
      <x:c r="E4" s="84"/>
      <x:c r="F4" s="84"/>
      <x:c r="G4" s="84"/>
      <x:c r="H4" s="84"/>
    </x:row>
    <x:row r="5">
      <x:c r="A5" s="84"/>
      <x:c r="B5" s="84"/>
      <x:c r="C5" s="84"/>
      <x:c r="D5" s="84"/>
      <x:c r="E5" s="84"/>
      <x:c r="F5" s="84"/>
      <x:c r="G5" s="84"/>
      <x:c r="H5" s="84"/>
    </x:row>
    <x:row r="6">
      <x:c r="A6" s="15" t="str">
        <x:v>Partner model</x:v>
      </x:c>
      <x:c r="B6" s="16" t="str">
        <x:v>Dirtyworks.ai revenue retained</x:v>
      </x:c>
      <x:c r="C6" s="17" t="str">
        <x:v>Delivery-cost factor</x:v>
      </x:c>
      <x:c r="D6" s="84"/>
      <x:c r="E6" s="84"/>
      <x:c r="F6" s="84"/>
      <x:c r="G6" s="84"/>
      <x:c r="H6" s="84"/>
    </x:row>
    <x:row r="7">
      <x:c r="A7" s="84" t="str">
        <x:v>Direct</x:v>
      </x:c>
      <x:c r="B7" s="120" t="n">
        <x:v>1</x:v>
      </x:c>
      <x:c r="C7" s="120" t="n">
        <x:v>1</x:v>
      </x:c>
      <x:c r="D7" s="84"/>
      <x:c r="E7" s="84"/>
      <x:c r="F7" s="84"/>
      <x:c r="G7" s="84"/>
      <x:c r="H7" s="84"/>
    </x:row>
    <x:row r="8">
      <x:c r="A8" s="84" t="str">
        <x:v>Referral</x:v>
      </x:c>
      <x:c r="B8" s="120" t="n">
        <x:v>0.9</x:v>
      </x:c>
      <x:c r="C8" s="120" t="n">
        <x:v>1</x:v>
      </x:c>
      <x:c r="D8" s="84"/>
      <x:c r="E8" s="84"/>
      <x:c r="F8" s="84"/>
      <x:c r="G8" s="84"/>
      <x:c r="H8" s="84"/>
    </x:row>
    <x:row r="9">
      <x:c r="A9" s="84" t="str">
        <x:v>Co-managed</x:v>
      </x:c>
      <x:c r="B9" s="120" t="n">
        <x:v>0.8</x:v>
      </x:c>
      <x:c r="C9" s="120" t="n">
        <x:v>0.95</x:v>
      </x:c>
      <x:c r="D9" s="84"/>
      <x:c r="E9" s="84"/>
      <x:c r="F9" s="84"/>
      <x:c r="G9" s="84"/>
      <x:c r="H9" s="84"/>
    </x:row>
    <x:row r="10">
      <x:c r="A10" s="84" t="str">
        <x:v>White-label</x:v>
      </x:c>
      <x:c r="B10" s="120" t="n">
        <x:v>0.75</x:v>
      </x:c>
      <x:c r="C10" s="120" t="n">
        <x:v>0.9</x:v>
      </x:c>
      <x:c r="D10" s="84"/>
      <x:c r="E10" s="84"/>
      <x:c r="F10" s="84"/>
      <x:c r="G10" s="84"/>
      <x:c r="H10" s="84"/>
    </x:row>
    <x:row r="11">
      <x:c r="A11" s="84"/>
      <x:c r="B11" s="84"/>
      <x:c r="C11" s="84"/>
      <x:c r="D11" s="84"/>
      <x:c r="E11" s="84"/>
      <x:c r="F11" s="84"/>
      <x:c r="G11" s="84"/>
      <x:c r="H11" s="84"/>
    </x:row>
    <x:row r="12">
      <x:c r="A12" s="84"/>
      <x:c r="B12" s="84"/>
      <x:c r="C12" s="84"/>
      <x:c r="D12" s="84"/>
      <x:c r="E12" s="84"/>
      <x:c r="F12" s="84"/>
      <x:c r="G12" s="84"/>
      <x:c r="H12" s="84"/>
    </x:row>
    <x:row r="13" ht="22" customHeight="1">
      <x:c r="A13" s="63" t="str">
        <x:v>REVIEW ECONOMICS</x:v>
      </x:c>
      <x:c r="B13" s="63" t="str">
        <x:v>REVIEW ECONOMICS</x:v>
      </x:c>
      <x:c r="C13" s="63" t="str">
        <x:v>REVIEW ECONOMICS</x:v>
      </x:c>
      <x:c r="D13" s="63" t="str">
        <x:v>REVIEW ECONOMICS</x:v>
      </x:c>
      <x:c r="E13" s="63" t="str">
        <x:v>REVIEW ECONOMICS</x:v>
      </x:c>
      <x:c r="F13" s="63" t="str">
        <x:v>REVIEW ECONOMICS</x:v>
      </x:c>
      <x:c r="G13" s="84"/>
      <x:c r="H13" s="84"/>
    </x:row>
    <x:row r="14">
      <x:c r="A14" s="15" t="str">
        <x:v>Partner model</x:v>
      </x:c>
      <x:c r="B14" s="16" t="str">
        <x:v>End-customer price</x:v>
      </x:c>
      <x:c r="C14" s="16" t="str">
        <x:v>Dirtyworks.ai revenue</x:v>
      </x:c>
      <x:c r="D14" s="16" t="str">
        <x:v>Partner headroom</x:v>
      </x:c>
      <x:c r="E14" s="16" t="str">
        <x:v>Normalized delivery cost</x:v>
      </x:c>
      <x:c r="F14" s="17" t="str">
        <x:v>Dirtyworks.ai normalized GM</x:v>
      </x:c>
      <x:c r="G14" s="84"/>
      <x:c r="H14" s="84"/>
    </x:row>
    <x:row r="15">
      <x:c r="A15" s="84" t="str">
        <x:v>Direct</x:v>
      </x:c>
      <x:c r="B15" s="104" t="n">
        <x:f>'Unit Economics'!$B$7</x:f>
        <x:v>2500</x:v>
      </x:c>
      <x:c r="C15" s="104" t="n">
        <x:f>B15*$B$7</x:f>
        <x:v>2500</x:v>
      </x:c>
      <x:c r="D15" s="104" t="n">
        <x:f>B15-C15</x:f>
        <x:v>0</x:v>
      </x:c>
      <x:c r="E15" s="104" t="n">
        <x:f>('Unit Economics'!$E$7+'Unit Economics'!$F$7)*$C$7+'Unit Economics'!$G$7*$B$7</x:f>
        <x:v>1062.5</x:v>
      </x:c>
      <x:c r="F15" s="103" t="n">
        <x:f>IF(C15=0,0,(C15-E15)/C15)</x:f>
        <x:v>0.575</x:v>
      </x:c>
      <x:c r="G15" s="84"/>
      <x:c r="H15" s="84"/>
    </x:row>
    <x:row r="16">
      <x:c r="A16" s="84" t="str">
        <x:v>Referral</x:v>
      </x:c>
      <x:c r="B16" s="104" t="n">
        <x:f>'Unit Economics'!$B$7</x:f>
        <x:v>2500</x:v>
      </x:c>
      <x:c r="C16" s="104" t="n">
        <x:f>B16*$B$8</x:f>
        <x:v>2250</x:v>
      </x:c>
      <x:c r="D16" s="104" t="n">
        <x:f>B16-C16</x:f>
        <x:v>250</x:v>
      </x:c>
      <x:c r="E16" s="104" t="n">
        <x:f>('Unit Economics'!$E$7+'Unit Economics'!$F$7)*$C$8+'Unit Economics'!$G$7*$B$8</x:f>
        <x:v>1056.25</x:v>
      </x:c>
      <x:c r="F16" s="103" t="n">
        <x:f>IF(C16=0,0,(C16-E16)/C16)</x:f>
        <x:v>0.5305555555555556</x:v>
      </x:c>
      <x:c r="G16" s="84"/>
      <x:c r="H16" s="84"/>
    </x:row>
    <x:row r="17">
      <x:c r="A17" s="84" t="str">
        <x:v>Co-managed</x:v>
      </x:c>
      <x:c r="B17" s="104" t="n">
        <x:f>'Unit Economics'!$B$7</x:f>
        <x:v>2500</x:v>
      </x:c>
      <x:c r="C17" s="104" t="n">
        <x:f>B17*$B$9</x:f>
        <x:v>2000</x:v>
      </x:c>
      <x:c r="D17" s="104" t="n">
        <x:f>B17-C17</x:f>
        <x:v>500</x:v>
      </x:c>
      <x:c r="E17" s="104" t="n">
        <x:f>('Unit Economics'!$E$7+'Unit Economics'!$F$7)*$C$9+'Unit Economics'!$G$7*$B$9</x:f>
        <x:v>1000</x:v>
      </x:c>
      <x:c r="F17" s="103" t="n">
        <x:f>IF(C17=0,0,(C17-E17)/C17)</x:f>
        <x:v>0.5</x:v>
      </x:c>
      <x:c r="G17" s="84"/>
      <x:c r="H17" s="84"/>
    </x:row>
    <x:row r="18">
      <x:c r="A18" s="84" t="str">
        <x:v>White-label</x:v>
      </x:c>
      <x:c r="B18" s="104" t="n">
        <x:f>'Unit Economics'!$B$7</x:f>
        <x:v>2500</x:v>
      </x:c>
      <x:c r="C18" s="104" t="n">
        <x:f>B18*$B$10</x:f>
        <x:v>1875</x:v>
      </x:c>
      <x:c r="D18" s="104" t="n">
        <x:f>B18-C18</x:f>
        <x:v>625</x:v>
      </x:c>
      <x:c r="E18" s="104" t="n">
        <x:f>('Unit Economics'!$E$7+'Unit Economics'!$F$7)*$C$10+'Unit Economics'!$G$7*$B$10</x:f>
        <x:v>946.875</x:v>
      </x:c>
      <x:c r="F18" s="103" t="n">
        <x:f>IF(C18=0,0,(C18-E18)/C18)</x:f>
        <x:v>0.495</x:v>
      </x:c>
      <x:c r="G18" s="84"/>
      <x:c r="H18" s="84"/>
    </x:row>
    <x:row r="19">
      <x:c r="A19" s="84"/>
      <x:c r="B19" s="84"/>
      <x:c r="C19" s="84"/>
      <x:c r="D19" s="84"/>
      <x:c r="E19" s="84"/>
      <x:c r="F19" s="84"/>
      <x:c r="G19" s="84"/>
      <x:c r="H19" s="84"/>
    </x:row>
    <x:row r="20">
      <x:c r="A20" s="84"/>
      <x:c r="B20" s="84"/>
      <x:c r="C20" s="84"/>
      <x:c r="D20" s="84"/>
      <x:c r="E20" s="84"/>
      <x:c r="F20" s="84"/>
      <x:c r="G20" s="84"/>
      <x:c r="H20" s="84"/>
    </x:row>
    <x:row r="21" ht="22" customHeight="1">
      <x:c r="A21" s="63" t="str">
        <x:v>LAUNCH ECONOMICS</x:v>
      </x:c>
      <x:c r="B21" s="63" t="str">
        <x:v>LAUNCH ECONOMICS</x:v>
      </x:c>
      <x:c r="C21" s="63" t="str">
        <x:v>LAUNCH ECONOMICS</x:v>
      </x:c>
      <x:c r="D21" s="63" t="str">
        <x:v>LAUNCH ECONOMICS</x:v>
      </x:c>
      <x:c r="E21" s="63" t="str">
        <x:v>LAUNCH ECONOMICS</x:v>
      </x:c>
      <x:c r="F21" s="63" t="str">
        <x:v>LAUNCH ECONOMICS</x:v>
      </x:c>
      <x:c r="G21" s="84"/>
      <x:c r="H21" s="84"/>
    </x:row>
    <x:row r="22">
      <x:c r="A22" s="15" t="str">
        <x:v>Partner model</x:v>
      </x:c>
      <x:c r="B22" s="16" t="str">
        <x:v>End-customer price</x:v>
      </x:c>
      <x:c r="C22" s="16" t="str">
        <x:v>Dirtyworks.ai revenue</x:v>
      </x:c>
      <x:c r="D22" s="16" t="str">
        <x:v>Partner headroom</x:v>
      </x:c>
      <x:c r="E22" s="16" t="str">
        <x:v>Normalized delivery cost</x:v>
      </x:c>
      <x:c r="F22" s="17" t="str">
        <x:v>Dirtyworks.ai normalized GM</x:v>
      </x:c>
      <x:c r="G22" s="84"/>
      <x:c r="H22" s="84"/>
    </x:row>
    <x:row r="23">
      <x:c r="A23" s="84" t="str">
        <x:v>Direct</x:v>
      </x:c>
      <x:c r="B23" s="104" t="n">
        <x:f>'Unit Economics'!$B$8</x:f>
        <x:v>9500</x:v>
      </x:c>
      <x:c r="C23" s="104" t="n">
        <x:f>B23*$B$7</x:f>
        <x:v>9500</x:v>
      </x:c>
      <x:c r="D23" s="104" t="n">
        <x:f>B23-C23</x:f>
        <x:v>0</x:v>
      </x:c>
      <x:c r="E23" s="104" t="n">
        <x:f>('Unit Economics'!$E$8+'Unit Economics'!$F$8)*$C$7+'Unit Economics'!$G$8*$B$7</x:f>
        <x:v>5237.5</x:v>
      </x:c>
      <x:c r="F23" s="103" t="n">
        <x:f>IF(C23=0,0,(C23-E23)/C23)</x:f>
        <x:v>0.4486842105263158</x:v>
      </x:c>
      <x:c r="G23" s="84"/>
      <x:c r="H23" s="84"/>
    </x:row>
    <x:row r="24">
      <x:c r="A24" s="84" t="str">
        <x:v>Referral</x:v>
      </x:c>
      <x:c r="B24" s="104" t="n">
        <x:f>'Unit Economics'!$B$8</x:f>
        <x:v>9500</x:v>
      </x:c>
      <x:c r="C24" s="104" t="n">
        <x:f>B24*$B$8</x:f>
        <x:v>8550</x:v>
      </x:c>
      <x:c r="D24" s="104" t="n">
        <x:f>B24-C24</x:f>
        <x:v>950</x:v>
      </x:c>
      <x:c r="E24" s="104" t="n">
        <x:f>('Unit Economics'!$E$8+'Unit Economics'!$F$8)*$C$8+'Unit Economics'!$G$8*$B$8</x:f>
        <x:v>5213.75</x:v>
      </x:c>
      <x:c r="F24" s="103" t="n">
        <x:f>IF(C24=0,0,(C24-E24)/C24)</x:f>
        <x:v>0.3902046783625731</x:v>
      </x:c>
      <x:c r="G24" s="84"/>
      <x:c r="H24" s="84"/>
    </x:row>
    <x:row r="25">
      <x:c r="A25" s="84" t="str">
        <x:v>Co-managed</x:v>
      </x:c>
      <x:c r="B25" s="104" t="n">
        <x:f>'Unit Economics'!$B$8</x:f>
        <x:v>9500</x:v>
      </x:c>
      <x:c r="C25" s="104" t="n">
        <x:f>B25*$B$9</x:f>
        <x:v>7600</x:v>
      </x:c>
      <x:c r="D25" s="104" t="n">
        <x:f>B25-C25</x:f>
        <x:v>1900</x:v>
      </x:c>
      <x:c r="E25" s="104" t="n">
        <x:f>('Unit Economics'!$E$8+'Unit Economics'!$F$8)*$C$9+'Unit Economics'!$G$8*$B$9</x:f>
        <x:v>4940</x:v>
      </x:c>
      <x:c r="F25" s="103" t="n">
        <x:f>IF(C25=0,0,(C25-E25)/C25)</x:f>
        <x:v>0.35</x:v>
      </x:c>
      <x:c r="G25" s="84"/>
      <x:c r="H25" s="84"/>
    </x:row>
    <x:row r="26">
      <x:c r="A26" s="84" t="str">
        <x:v>White-label</x:v>
      </x:c>
      <x:c r="B26" s="104" t="n">
        <x:f>'Unit Economics'!$B$8</x:f>
        <x:v>9500</x:v>
      </x:c>
      <x:c r="C26" s="104" t="n">
        <x:f>B26*$B$10</x:f>
        <x:v>7125</x:v>
      </x:c>
      <x:c r="D26" s="104" t="n">
        <x:f>B26-C26</x:f>
        <x:v>2375</x:v>
      </x:c>
      <x:c r="E26" s="104" t="n">
        <x:f>('Unit Economics'!$E$8+'Unit Economics'!$F$8)*$C$10+'Unit Economics'!$G$8*$B$10</x:f>
        <x:v>4678.125</x:v>
      </x:c>
      <x:c r="F26" s="103" t="n">
        <x:f>IF(C26=0,0,(C26-E26)/C26)</x:f>
        <x:v>0.34342105263157896</x:v>
      </x:c>
      <x:c r="G26" s="84"/>
      <x:c r="H26" s="84"/>
    </x:row>
    <x:row r="27">
      <x:c r="A27" s="84"/>
      <x:c r="B27" s="84"/>
      <x:c r="C27" s="84"/>
      <x:c r="D27" s="84"/>
      <x:c r="E27" s="84"/>
      <x:c r="F27" s="84"/>
      <x:c r="G27" s="84"/>
      <x:c r="H27" s="84"/>
    </x:row>
    <x:row r="28">
      <x:c r="A28" s="84"/>
      <x:c r="B28" s="84"/>
      <x:c r="C28" s="84"/>
      <x:c r="D28" s="84"/>
      <x:c r="E28" s="84"/>
      <x:c r="F28" s="84"/>
      <x:c r="G28" s="84"/>
      <x:c r="H28" s="84"/>
    </x:row>
    <x:row r="29" ht="22" customHeight="1">
      <x:c r="A29" s="63" t="str">
        <x:v>CORE MONTHLY ECONOMICS</x:v>
      </x:c>
      <x:c r="B29" s="63" t="str">
        <x:v>CORE MONTHLY ECONOMICS</x:v>
      </x:c>
      <x:c r="C29" s="63" t="str">
        <x:v>CORE MONTHLY ECONOMICS</x:v>
      </x:c>
      <x:c r="D29" s="63" t="str">
        <x:v>CORE MONTHLY ECONOMICS</x:v>
      </x:c>
      <x:c r="E29" s="63" t="str">
        <x:v>CORE MONTHLY ECONOMICS</x:v>
      </x:c>
      <x:c r="F29" s="63" t="str">
        <x:v>CORE MONTHLY ECONOMICS</x:v>
      </x:c>
      <x:c r="G29" s="84"/>
      <x:c r="H29" s="84"/>
    </x:row>
    <x:row r="30">
      <x:c r="A30" s="15" t="str">
        <x:v>Partner model</x:v>
      </x:c>
      <x:c r="B30" s="16" t="str">
        <x:v>End-customer price</x:v>
      </x:c>
      <x:c r="C30" s="16" t="str">
        <x:v>Dirtyworks.ai revenue</x:v>
      </x:c>
      <x:c r="D30" s="16" t="str">
        <x:v>Partner headroom</x:v>
      </x:c>
      <x:c r="E30" s="16" t="str">
        <x:v>Normalized delivery cost</x:v>
      </x:c>
      <x:c r="F30" s="17" t="str">
        <x:v>Dirtyworks.ai normalized GM</x:v>
      </x:c>
      <x:c r="G30" s="84"/>
      <x:c r="H30" s="84"/>
    </x:row>
    <x:row r="31">
      <x:c r="A31" s="84" t="str">
        <x:v>Direct</x:v>
      </x:c>
      <x:c r="B31" s="104" t="n">
        <x:f>'Unit Economics'!$B$9</x:f>
        <x:v>2500</x:v>
      </x:c>
      <x:c r="C31" s="104" t="n">
        <x:f>B31*$B$7</x:f>
        <x:v>2500</x:v>
      </x:c>
      <x:c r="D31" s="104" t="n">
        <x:f>B31-C31</x:f>
        <x:v>0</x:v>
      </x:c>
      <x:c r="E31" s="104" t="n">
        <x:f>('Unit Economics'!$E$9+'Unit Economics'!$F$9)*$C$7+'Unit Economics'!$G$9*$B$7</x:f>
        <x:v>1087.5</x:v>
      </x:c>
      <x:c r="F31" s="103" t="n">
        <x:f>IF(C31=0,0,(C31-E31)/C31)</x:f>
        <x:v>0.565</x:v>
      </x:c>
      <x:c r="G31" s="84"/>
      <x:c r="H31" s="84"/>
    </x:row>
    <x:row r="32">
      <x:c r="A32" s="84" t="str">
        <x:v>Referral</x:v>
      </x:c>
      <x:c r="B32" s="104" t="n">
        <x:f>'Unit Economics'!$B$9</x:f>
        <x:v>2500</x:v>
      </x:c>
      <x:c r="C32" s="104" t="n">
        <x:f>B32*$B$8</x:f>
        <x:v>2250</x:v>
      </x:c>
      <x:c r="D32" s="104" t="n">
        <x:f>B32-C32</x:f>
        <x:v>250</x:v>
      </x:c>
      <x:c r="E32" s="104" t="n">
        <x:f>('Unit Economics'!$E$9+'Unit Economics'!$F$9)*$C$8+'Unit Economics'!$G$9*$B$8</x:f>
        <x:v>1081.25</x:v>
      </x:c>
      <x:c r="F32" s="103" t="n">
        <x:f>IF(C32=0,0,(C32-E32)/C32)</x:f>
        <x:v>0.5194444444444445</x:v>
      </x:c>
      <x:c r="G32" s="84"/>
      <x:c r="H32" s="84"/>
    </x:row>
    <x:row r="33">
      <x:c r="A33" s="84" t="str">
        <x:v>Co-managed</x:v>
      </x:c>
      <x:c r="B33" s="104" t="n">
        <x:f>'Unit Economics'!$B$9</x:f>
        <x:v>2500</x:v>
      </x:c>
      <x:c r="C33" s="104" t="n">
        <x:f>B33*$B$9</x:f>
        <x:v>2000</x:v>
      </x:c>
      <x:c r="D33" s="104" t="n">
        <x:f>B33-C33</x:f>
        <x:v>500</x:v>
      </x:c>
      <x:c r="E33" s="104" t="n">
        <x:f>('Unit Economics'!$E$9+'Unit Economics'!$F$9)*$C$9+'Unit Economics'!$G$9*$B$9</x:f>
        <x:v>1023.75</x:v>
      </x:c>
      <x:c r="F33" s="103" t="n">
        <x:f>IF(C33=0,0,(C33-E33)/C33)</x:f>
        <x:v>0.488125</x:v>
      </x:c>
      <x:c r="G33" s="84"/>
      <x:c r="H33" s="84"/>
    </x:row>
    <x:row r="34">
      <x:c r="A34" s="84" t="str">
        <x:v>White-label</x:v>
      </x:c>
      <x:c r="B34" s="104" t="n">
        <x:f>'Unit Economics'!$B$9</x:f>
        <x:v>2500</x:v>
      </x:c>
      <x:c r="C34" s="104" t="n">
        <x:f>B34*$B$10</x:f>
        <x:v>1875</x:v>
      </x:c>
      <x:c r="D34" s="104" t="n">
        <x:f>B34-C34</x:f>
        <x:v>625</x:v>
      </x:c>
      <x:c r="E34" s="104" t="n">
        <x:f>('Unit Economics'!$E$9+'Unit Economics'!$F$9)*$C$10+'Unit Economics'!$G$9*$B$10</x:f>
        <x:v>969.375</x:v>
      </x:c>
      <x:c r="F34" s="103" t="n">
        <x:f>IF(C34=0,0,(C34-E34)/C34)</x:f>
        <x:v>0.483</x:v>
      </x:c>
      <x:c r="G34" s="84"/>
      <x:c r="H34" s="84"/>
    </x:row>
    <x:row r="35">
      <x:c r="A35" s="84"/>
      <x:c r="B35" s="84"/>
      <x:c r="C35" s="84"/>
      <x:c r="D35" s="84"/>
      <x:c r="E35" s="84"/>
      <x:c r="F35" s="84"/>
      <x:c r="G35" s="84"/>
      <x:c r="H35" s="84"/>
    </x:row>
    <x:row r="36">
      <x:c r="A36" s="84"/>
      <x:c r="B36" s="84"/>
      <x:c r="C36" s="84"/>
      <x:c r="D36" s="84"/>
      <x:c r="E36" s="84"/>
      <x:c r="F36" s="84"/>
      <x:c r="G36" s="84"/>
      <x:c r="H36" s="84"/>
    </x:row>
    <x:row r="37" ht="22" customHeight="1">
      <x:c r="A37" s="63" t="str">
        <x:v>OPERATE MONTHLY ECONOMICS</x:v>
      </x:c>
      <x:c r="B37" s="63" t="str">
        <x:v>OPERATE MONTHLY ECONOMICS</x:v>
      </x:c>
      <x:c r="C37" s="63" t="str">
        <x:v>OPERATE MONTHLY ECONOMICS</x:v>
      </x:c>
      <x:c r="D37" s="63" t="str">
        <x:v>OPERATE MONTHLY ECONOMICS</x:v>
      </x:c>
      <x:c r="E37" s="63" t="str">
        <x:v>OPERATE MONTHLY ECONOMICS</x:v>
      </x:c>
      <x:c r="F37" s="63" t="str">
        <x:v>OPERATE MONTHLY ECONOMICS</x:v>
      </x:c>
      <x:c r="G37" s="84"/>
      <x:c r="H37" s="84"/>
    </x:row>
    <x:row r="38">
      <x:c r="A38" s="15" t="str">
        <x:v>Partner model</x:v>
      </x:c>
      <x:c r="B38" s="16" t="str">
        <x:v>End-customer price</x:v>
      </x:c>
      <x:c r="C38" s="16" t="str">
        <x:v>Dirtyworks.ai revenue</x:v>
      </x:c>
      <x:c r="D38" s="16" t="str">
        <x:v>Partner headroom</x:v>
      </x:c>
      <x:c r="E38" s="16" t="str">
        <x:v>Normalized delivery cost</x:v>
      </x:c>
      <x:c r="F38" s="17" t="str">
        <x:v>Dirtyworks.ai normalized GM</x:v>
      </x:c>
      <x:c r="G38" s="84"/>
      <x:c r="H38" s="84"/>
    </x:row>
    <x:row r="39">
      <x:c r="A39" s="84" t="str">
        <x:v>Direct</x:v>
      </x:c>
      <x:c r="B39" s="104" t="n">
        <x:f>'Unit Economics'!$B$10</x:f>
        <x:v>4500</x:v>
      </x:c>
      <x:c r="C39" s="104" t="n">
        <x:f>B39*$B$7</x:f>
        <x:v>4500</x:v>
      </x:c>
      <x:c r="D39" s="104" t="n">
        <x:f>B39-C39</x:f>
        <x:v>0</x:v>
      </x:c>
      <x:c r="E39" s="104" t="n">
        <x:f>('Unit Economics'!$E$10+'Unit Economics'!$F$10)*$C$7+'Unit Economics'!$G$10*$B$7</x:f>
        <x:v>1762.5</x:v>
      </x:c>
      <x:c r="F39" s="103" t="n">
        <x:f>IF(C39=0,0,(C39-E39)/C39)</x:f>
        <x:v>0.6083333333333333</x:v>
      </x:c>
      <x:c r="G39" s="84"/>
      <x:c r="H39" s="84"/>
    </x:row>
    <x:row r="40">
      <x:c r="A40" s="84" t="str">
        <x:v>Referral</x:v>
      </x:c>
      <x:c r="B40" s="104" t="n">
        <x:f>'Unit Economics'!$B$10</x:f>
        <x:v>4500</x:v>
      </x:c>
      <x:c r="C40" s="104" t="n">
        <x:f>B40*$B$8</x:f>
        <x:v>4050</x:v>
      </x:c>
      <x:c r="D40" s="104" t="n">
        <x:f>B40-C40</x:f>
        <x:v>450</x:v>
      </x:c>
      <x:c r="E40" s="104" t="n">
        <x:f>('Unit Economics'!$E$10+'Unit Economics'!$F$10)*$C$8+'Unit Economics'!$G$10*$B$8</x:f>
        <x:v>1751.25</x:v>
      </x:c>
      <x:c r="F40" s="103" t="n">
        <x:f>IF(C40=0,0,(C40-E40)/C40)</x:f>
        <x:v>0.5675925925925925</x:v>
      </x:c>
      <x:c r="G40" s="84"/>
      <x:c r="H40" s="84"/>
    </x:row>
    <x:row r="41">
      <x:c r="A41" s="84" t="str">
        <x:v>Co-managed</x:v>
      </x:c>
      <x:c r="B41" s="104" t="n">
        <x:f>'Unit Economics'!$B$10</x:f>
        <x:v>4500</x:v>
      </x:c>
      <x:c r="C41" s="104" t="n">
        <x:f>B41*$B$9</x:f>
        <x:v>3600</x:v>
      </x:c>
      <x:c r="D41" s="104" t="n">
        <x:f>B41-C41</x:f>
        <x:v>900</x:v>
      </x:c>
      <x:c r="E41" s="104" t="n">
        <x:f>('Unit Economics'!$E$10+'Unit Economics'!$F$10)*$C$9+'Unit Economics'!$G$10*$B$9</x:f>
        <x:v>1657.5</x:v>
      </x:c>
      <x:c r="F41" s="103" t="n">
        <x:f>IF(C41=0,0,(C41-E41)/C41)</x:f>
        <x:v>0.5395833333333333</x:v>
      </x:c>
      <x:c r="G41" s="84"/>
      <x:c r="H41" s="84"/>
    </x:row>
    <x:row r="42">
      <x:c r="A42" s="84" t="str">
        <x:v>White-label</x:v>
      </x:c>
      <x:c r="B42" s="104" t="n">
        <x:f>'Unit Economics'!$B$10</x:f>
        <x:v>4500</x:v>
      </x:c>
      <x:c r="C42" s="104" t="n">
        <x:f>B42*$B$10</x:f>
        <x:v>3375</x:v>
      </x:c>
      <x:c r="D42" s="104" t="n">
        <x:f>B42-C42</x:f>
        <x:v>1125</x:v>
      </x:c>
      <x:c r="E42" s="104" t="n">
        <x:f>('Unit Economics'!$E$10+'Unit Economics'!$F$10)*$C$10+'Unit Economics'!$G$10*$B$10</x:f>
        <x:v>1569.375</x:v>
      </x:c>
      <x:c r="F42" s="103" t="n">
        <x:f>IF(C42=0,0,(C42-E42)/C42)</x:f>
        <x:v>0.535</x:v>
      </x:c>
      <x:c r="G42" s="84"/>
      <x:c r="H42" s="84"/>
    </x:row>
  </x:sheetData>
  <x:mergeCells>
    <x:mergeCell ref="A1:H1"/>
    <x:mergeCell ref="A2:H2"/>
    <x:mergeCell ref="A13:F13"/>
    <x:mergeCell ref="A21:F21"/>
    <x:mergeCell ref="A29:F29"/>
    <x:mergeCell ref="A37:F37"/>
  </x:mergeCells>
  <x:conditionalFormatting sqref="F15:F18">
    <x:cfRule type="cellIs" dxfId="2" priority="1" operator="lessThan">
      <x:formula>0.5</x:formula>
    </x:cfRule>
  </x:conditionalFormatting>
  <x:conditionalFormatting sqref="F23:F26">
    <x:cfRule type="cellIs" dxfId="3" priority="2" operator="lessThan">
      <x:formula>0.5</x:formula>
    </x:cfRule>
  </x:conditionalFormatting>
  <x:conditionalFormatting sqref="F31:F34">
    <x:cfRule type="cellIs" dxfId="4" priority="3" operator="lessThan">
      <x:formula>0.5</x:formula>
    </x:cfRule>
  </x:conditionalFormatting>
  <x:conditionalFormatting sqref="F39:F42">
    <x:cfRule type="cellIs" dxfId="5" priority="4" operator="lessThan">
      <x:formula>0.5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2" customHeight="1">
      <x:c r="A1" s="3" t="str">
        <x:v>DIRTYWORKS.AI / MODEL CHECKS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91" t="str">
        <x:v>PASS means the workbook mechanics reconcile. It does not mean the business assumptions are validated.</x:v>
      </x:c>
      <x:c r="B2" s="91"/>
      <x:c r="C2" s="91"/>
      <x:c r="D2" s="91"/>
      <x:c r="E2" s="91"/>
      <x:c r="F2" s="91"/>
      <x:c r="G2" s="91"/>
      <x:c r="H2" s="91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>
      <x:c r="A4" s="15" t="str">
        <x:v>Check</x:v>
      </x:c>
      <x:c r="B4" s="16" t="str">
        <x:v>Scenario</x:v>
      </x:c>
      <x:c r="C4" s="16" t="str">
        <x:v>Actual</x:v>
      </x:c>
      <x:c r="D4" s="16" t="str">
        <x:v>Expected</x:v>
      </x:c>
      <x:c r="E4" s="16" t="str">
        <x:v>Difference</x:v>
      </x:c>
      <x:c r="F4" s="16" t="str">
        <x:v>Tolerance</x:v>
      </x:c>
      <x:c r="G4" s="17" t="str">
        <x:v>Status</x:v>
      </x:c>
      <x:c r="H4" s="84"/>
    </x:row>
    <x:row r="5">
      <x:c r="A5" s="84" t="str">
        <x:v>Package mix sums to 100%</x:v>
      </x:c>
      <x:c r="B5" s="84" t="str">
        <x:v>Downside</x:v>
      </x:c>
      <x:c r="C5" s="122" t="n">
        <x:f>SUM('Scenarios'!$C$14,'Scenarios'!$C$15,'Scenarios'!$C$16)</x:f>
        <x:v>1</x:v>
      </x:c>
      <x:c r="D5" s="122" t="n">
        <x:f>1</x:f>
        <x:v>1</x:v>
      </x:c>
      <x:c r="E5" s="122" t="n">
        <x:f>C5-D5</x:f>
        <x:v>0</x:v>
      </x:c>
      <x:c r="F5" s="123" t="n">
        <x:v>0.0001</x:v>
      </x:c>
      <x:c r="G5" s="84" t="str">
        <x:f>IF(ABS(E5)&lt;=F5,"OK","FAIL")</x:f>
        <x:v>OK</x:v>
      </x:c>
      <x:c r="H5" s="84"/>
    </x:row>
    <x:row r="6">
      <x:c r="A6" s="84" t="str">
        <x:v>Active-account roll-forward</x:v>
      </x:c>
      <x:c r="B6" s="84" t="str">
        <x:v>Downside</x:v>
      </x:c>
      <x:c r="C6" s="122" t="n">
        <x:f>MAX(MAX('Monthly Model'!C79:AL79),-MIN('Monthly Model'!C79:AL79))</x:f>
        <x:v>0</x:v>
      </x:c>
      <x:c r="D6" s="122" t="n">
        <x:f>0</x:f>
        <x:v>0</x:v>
      </x:c>
      <x:c r="E6" s="122" t="n">
        <x:f>C6-D6</x:f>
        <x:v>0</x:v>
      </x:c>
      <x:c r="F6" s="123" t="n">
        <x:v>0.01</x:v>
      </x:c>
      <x:c r="G6" s="84" t="str">
        <x:f>IF(ABS(E6)&lt;=F6,"OK","FAIL")</x:f>
        <x:v>OK</x:v>
      </x:c>
      <x:c r="H6" s="84"/>
    </x:row>
    <x:row r="7">
      <x:c r="A7" s="84" t="str">
        <x:v>Revenue tie</x:v>
      </x:c>
      <x:c r="B7" s="84" t="str">
        <x:v>Downside</x:v>
      </x:c>
      <x:c r="C7" s="122" t="n">
        <x:f>MAX(MAX('Monthly Model'!C80:AL80),-MIN('Monthly Model'!C80:AL80))</x:f>
        <x:v>0</x:v>
      </x:c>
      <x:c r="D7" s="122" t="n">
        <x:f>0</x:f>
        <x:v>0</x:v>
      </x:c>
      <x:c r="E7" s="122" t="n">
        <x:f>C7-D7</x:f>
        <x:v>0</x:v>
      </x:c>
      <x:c r="F7" s="123" t="n">
        <x:v>0.01</x:v>
      </x:c>
      <x:c r="G7" s="84" t="str">
        <x:f>IF(ABS(E7)&lt;=F7,"OK","FAIL")</x:f>
        <x:v>OK</x:v>
      </x:c>
      <x:c r="H7" s="84"/>
    </x:row>
    <x:row r="8">
      <x:c r="A8" s="84" t="str">
        <x:v>Capacity allocation</x:v>
      </x:c>
      <x:c r="B8" s="84" t="str">
        <x:v>Downside</x:v>
      </x:c>
      <x:c r="C8" s="122" t="n">
        <x:f>MAX(MAX('Monthly Model'!C81:AL81),-MIN('Monthly Model'!C81:AL81))</x:f>
        <x:v>0</x:v>
      </x:c>
      <x:c r="D8" s="122" t="n">
        <x:f>0</x:f>
        <x:v>0</x:v>
      </x:c>
      <x:c r="E8" s="122" t="n">
        <x:f>C8-D8</x:f>
        <x:v>0</x:v>
      </x:c>
      <x:c r="F8" s="123" t="n">
        <x:v>0.01</x:v>
      </x:c>
      <x:c r="G8" s="84" t="str">
        <x:f>IF(ABS(E8)&lt;=F8,"OK","FAIL")</x:f>
        <x:v>OK</x:v>
      </x:c>
      <x:c r="H8" s="84"/>
    </x:row>
    <x:row r="9">
      <x:c r="A9" s="84" t="str">
        <x:v>Cash roll-forward</x:v>
      </x:c>
      <x:c r="B9" s="84" t="str">
        <x:v>Downside</x:v>
      </x:c>
      <x:c r="C9" s="122" t="n">
        <x:f>MAX(MAX('Monthly Model'!C82:AL82),-MIN('Monthly Model'!C82:AL82))</x:f>
        <x:v>0</x:v>
      </x:c>
      <x:c r="D9" s="122" t="n">
        <x:f>0</x:f>
        <x:v>0</x:v>
      </x:c>
      <x:c r="E9" s="122" t="n">
        <x:f>C9-D9</x:f>
        <x:v>0</x:v>
      </x:c>
      <x:c r="F9" s="123" t="n">
        <x:v>0.01</x:v>
      </x:c>
      <x:c r="G9" s="84" t="str">
        <x:f>IF(ABS(E9)&lt;=F9,"OK","FAIL")</x:f>
        <x:v>OK</x:v>
      </x:c>
      <x:c r="H9" s="84"/>
    </x:row>
    <x:row r="10">
      <x:c r="A10" s="84" t="str">
        <x:v>Package mix sums to 100%</x:v>
      </x:c>
      <x:c r="B10" s="84" t="str">
        <x:v>Base</x:v>
      </x:c>
      <x:c r="C10" s="122" t="n">
        <x:f>SUM('Scenarios'!$D$14,'Scenarios'!$D$15,'Scenarios'!$D$16)</x:f>
        <x:v>1</x:v>
      </x:c>
      <x:c r="D10" s="122" t="n">
        <x:f>1</x:f>
        <x:v>1</x:v>
      </x:c>
      <x:c r="E10" s="122" t="n">
        <x:f>C10-D10</x:f>
        <x:v>0</x:v>
      </x:c>
      <x:c r="F10" s="123" t="n">
        <x:v>0.0001</x:v>
      </x:c>
      <x:c r="G10" s="84" t="str">
        <x:f>IF(ABS(E10)&lt;=F10,"OK","FAIL")</x:f>
        <x:v>OK</x:v>
      </x:c>
      <x:c r="H10" s="84"/>
    </x:row>
    <x:row r="11">
      <x:c r="A11" s="84" t="str">
        <x:v>Active-account roll-forward</x:v>
      </x:c>
      <x:c r="B11" s="84" t="str">
        <x:v>Base</x:v>
      </x:c>
      <x:c r="C11" s="122" t="n">
        <x:f>MAX(MAX('Monthly Model'!C159:AL159),-MIN('Monthly Model'!C159:AL159))</x:f>
        <x:v>0</x:v>
      </x:c>
      <x:c r="D11" s="122" t="n">
        <x:f>0</x:f>
        <x:v>0</x:v>
      </x:c>
      <x:c r="E11" s="122" t="n">
        <x:f>C11-D11</x:f>
        <x:v>0</x:v>
      </x:c>
      <x:c r="F11" s="123" t="n">
        <x:v>0.01</x:v>
      </x:c>
      <x:c r="G11" s="84" t="str">
        <x:f>IF(ABS(E11)&lt;=F11,"OK","FAIL")</x:f>
        <x:v>OK</x:v>
      </x:c>
      <x:c r="H11" s="84"/>
    </x:row>
    <x:row r="12">
      <x:c r="A12" s="84" t="str">
        <x:v>Revenue tie</x:v>
      </x:c>
      <x:c r="B12" s="84" t="str">
        <x:v>Base</x:v>
      </x:c>
      <x:c r="C12" s="122" t="n">
        <x:f>MAX(MAX('Monthly Model'!C160:AL160),-MIN('Monthly Model'!C160:AL160))</x:f>
        <x:v>0</x:v>
      </x:c>
      <x:c r="D12" s="122" t="n">
        <x:f>0</x:f>
        <x:v>0</x:v>
      </x:c>
      <x:c r="E12" s="122" t="n">
        <x:f>C12-D12</x:f>
        <x:v>0</x:v>
      </x:c>
      <x:c r="F12" s="123" t="n">
        <x:v>0.01</x:v>
      </x:c>
      <x:c r="G12" s="84" t="str">
        <x:f>IF(ABS(E12)&lt;=F12,"OK","FAIL")</x:f>
        <x:v>OK</x:v>
      </x:c>
      <x:c r="H12" s="84"/>
    </x:row>
    <x:row r="13">
      <x:c r="A13" s="84" t="str">
        <x:v>Capacity allocation</x:v>
      </x:c>
      <x:c r="B13" s="84" t="str">
        <x:v>Base</x:v>
      </x:c>
      <x:c r="C13" s="122" t="n">
        <x:f>MAX(MAX('Monthly Model'!C161:AL161),-MIN('Monthly Model'!C161:AL161))</x:f>
        <x:v>0</x:v>
      </x:c>
      <x:c r="D13" s="122" t="n">
        <x:f>0</x:f>
        <x:v>0</x:v>
      </x:c>
      <x:c r="E13" s="122" t="n">
        <x:f>C13-D13</x:f>
        <x:v>0</x:v>
      </x:c>
      <x:c r="F13" s="123" t="n">
        <x:v>0.01</x:v>
      </x:c>
      <x:c r="G13" s="84" t="str">
        <x:f>IF(ABS(E13)&lt;=F13,"OK","FAIL")</x:f>
        <x:v>OK</x:v>
      </x:c>
      <x:c r="H13" s="84"/>
    </x:row>
    <x:row r="14">
      <x:c r="A14" s="84" t="str">
        <x:v>Cash roll-forward</x:v>
      </x:c>
      <x:c r="B14" s="84" t="str">
        <x:v>Base</x:v>
      </x:c>
      <x:c r="C14" s="122" t="n">
        <x:f>MAX(MAX('Monthly Model'!C162:AL162),-MIN('Monthly Model'!C162:AL162))</x:f>
        <x:v>0</x:v>
      </x:c>
      <x:c r="D14" s="122" t="n">
        <x:f>0</x:f>
        <x:v>0</x:v>
      </x:c>
      <x:c r="E14" s="122" t="n">
        <x:f>C14-D14</x:f>
        <x:v>0</x:v>
      </x:c>
      <x:c r="F14" s="123" t="n">
        <x:v>0.01</x:v>
      </x:c>
      <x:c r="G14" s="84" t="str">
        <x:f>IF(ABS(E14)&lt;=F14,"OK","FAIL")</x:f>
        <x:v>OK</x:v>
      </x:c>
      <x:c r="H14" s="84"/>
    </x:row>
    <x:row r="15">
      <x:c r="A15" s="84" t="str">
        <x:v>Package mix sums to 100%</x:v>
      </x:c>
      <x:c r="B15" s="84" t="str">
        <x:v>Upside</x:v>
      </x:c>
      <x:c r="C15" s="122" t="n">
        <x:f>SUM('Scenarios'!$E$14,'Scenarios'!$E$15,'Scenarios'!$E$16)</x:f>
        <x:v>1</x:v>
      </x:c>
      <x:c r="D15" s="122" t="n">
        <x:f>1</x:f>
        <x:v>1</x:v>
      </x:c>
      <x:c r="E15" s="122" t="n">
        <x:f>C15-D15</x:f>
        <x:v>0</x:v>
      </x:c>
      <x:c r="F15" s="123" t="n">
        <x:v>0.0001</x:v>
      </x:c>
      <x:c r="G15" s="84" t="str">
        <x:f>IF(ABS(E15)&lt;=F15,"OK","FAIL")</x:f>
        <x:v>OK</x:v>
      </x:c>
      <x:c r="H15" s="84"/>
    </x:row>
    <x:row r="16">
      <x:c r="A16" s="84" t="str">
        <x:v>Active-account roll-forward</x:v>
      </x:c>
      <x:c r="B16" s="84" t="str">
        <x:v>Upside</x:v>
      </x:c>
      <x:c r="C16" s="122" t="n">
        <x:f>MAX(MAX('Monthly Model'!C239:AL239),-MIN('Monthly Model'!C239:AL239))</x:f>
        <x:v>0</x:v>
      </x:c>
      <x:c r="D16" s="122" t="n">
        <x:f>0</x:f>
        <x:v>0</x:v>
      </x:c>
      <x:c r="E16" s="122" t="n">
        <x:f>C16-D16</x:f>
        <x:v>0</x:v>
      </x:c>
      <x:c r="F16" s="123" t="n">
        <x:v>0.01</x:v>
      </x:c>
      <x:c r="G16" s="84" t="str">
        <x:f>IF(ABS(E16)&lt;=F16,"OK","FAIL")</x:f>
        <x:v>OK</x:v>
      </x:c>
      <x:c r="H16" s="84"/>
    </x:row>
    <x:row r="17">
      <x:c r="A17" s="84" t="str">
        <x:v>Revenue tie</x:v>
      </x:c>
      <x:c r="B17" s="84" t="str">
        <x:v>Upside</x:v>
      </x:c>
      <x:c r="C17" s="122" t="n">
        <x:f>MAX(MAX('Monthly Model'!C240:AL240),-MIN('Monthly Model'!C240:AL240))</x:f>
        <x:v>0</x:v>
      </x:c>
      <x:c r="D17" s="122" t="n">
        <x:f>0</x:f>
        <x:v>0</x:v>
      </x:c>
      <x:c r="E17" s="122" t="n">
        <x:f>C17-D17</x:f>
        <x:v>0</x:v>
      </x:c>
      <x:c r="F17" s="123" t="n">
        <x:v>0.01</x:v>
      </x:c>
      <x:c r="G17" s="84" t="str">
        <x:f>IF(ABS(E17)&lt;=F17,"OK","FAIL")</x:f>
        <x:v>OK</x:v>
      </x:c>
      <x:c r="H17" s="84"/>
    </x:row>
    <x:row r="18">
      <x:c r="A18" s="84" t="str">
        <x:v>Capacity allocation</x:v>
      </x:c>
      <x:c r="B18" s="84" t="str">
        <x:v>Upside</x:v>
      </x:c>
      <x:c r="C18" s="122" t="n">
        <x:f>MAX(MAX('Monthly Model'!C241:AL241),-MIN('Monthly Model'!C241:AL241))</x:f>
        <x:v>0</x:v>
      </x:c>
      <x:c r="D18" s="122" t="n">
        <x:f>0</x:f>
        <x:v>0</x:v>
      </x:c>
      <x:c r="E18" s="122" t="n">
        <x:f>C18-D18</x:f>
        <x:v>0</x:v>
      </x:c>
      <x:c r="F18" s="123" t="n">
        <x:v>0.01</x:v>
      </x:c>
      <x:c r="G18" s="84" t="str">
        <x:f>IF(ABS(E18)&lt;=F18,"OK","FAIL")</x:f>
        <x:v>OK</x:v>
      </x:c>
      <x:c r="H18" s="84"/>
    </x:row>
    <x:row r="19">
      <x:c r="A19" s="84" t="str">
        <x:v>Cash roll-forward</x:v>
      </x:c>
      <x:c r="B19" s="84" t="str">
        <x:v>Upside</x:v>
      </x:c>
      <x:c r="C19" s="122" t="n">
        <x:f>MAX(MAX('Monthly Model'!C242:AL242),-MIN('Monthly Model'!C242:AL242))</x:f>
        <x:v>0</x:v>
      </x:c>
      <x:c r="D19" s="122" t="n">
        <x:f>0</x:f>
        <x:v>0</x:v>
      </x:c>
      <x:c r="E19" s="122" t="n">
        <x:f>C19-D19</x:f>
        <x:v>0</x:v>
      </x:c>
      <x:c r="F19" s="123" t="n">
        <x:v>0.01</x:v>
      </x:c>
      <x:c r="G19" s="84" t="str">
        <x:f>IF(ABS(E19)&lt;=F19,"OK","FAIL")</x:f>
        <x:v>OK</x:v>
      </x:c>
      <x:c r="H19" s="84"/>
    </x:row>
    <x:row r="20">
      <x:c r="A20" s="84"/>
      <x:c r="B20" s="84"/>
      <x:c r="C20" s="84"/>
      <x:c r="D20" s="84"/>
      <x:c r="E20" s="84"/>
      <x:c r="F20" s="84"/>
      <x:c r="G20" s="84"/>
      <x:c r="H20" s="84"/>
    </x:row>
    <x:row r="21">
      <x:c r="A21" s="84"/>
      <x:c r="B21" s="84"/>
      <x:c r="C21" s="84"/>
      <x:c r="D21" s="84"/>
      <x:c r="E21" s="84"/>
      <x:c r="F21" s="84"/>
      <x:c r="G21" s="84"/>
      <x:c r="H21" s="84"/>
    </x:row>
    <x:row r="22" ht="22" customHeight="1">
      <x:c r="A22" s="63" t="str">
        <x:v>MODEL STATUS</x:v>
      </x:c>
      <x:c r="B22" s="63" t="str">
        <x:v>MODEL STATUS</x:v>
      </x:c>
      <x:c r="C22" s="63" t="str">
        <x:v>MODEL STATUS</x:v>
      </x:c>
      <x:c r="D22" s="63" t="str">
        <x:v>MODEL STATUS</x:v>
      </x:c>
      <x:c r="E22" s="63" t="str">
        <x:v>MODEL STATUS</x:v>
      </x:c>
      <x:c r="F22" s="63" t="str">
        <x:v>MODEL STATUS</x:v>
      </x:c>
      <x:c r="G22" s="63" t="str">
        <x:v>MODEL STATUS</x:v>
      </x:c>
      <x:c r="H22" s="84"/>
    </x:row>
    <x:row r="23">
      <x:c r="A23" s="84" t="str">
        <x:v>Overall</x:v>
      </x:c>
      <x:c r="B23" s="124" t="str">
        <x:f>IF(COUNTIF(G5:G19,"FAIL")=0,"PASS","FAIL")</x:f>
        <x:v>PASS</x:v>
      </x:c>
      <x:c r="C23" s="124"/>
      <x:c r="D23" s="124"/>
      <x:c r="E23" s="124"/>
      <x:c r="F23" s="124"/>
      <x:c r="G23" s="124"/>
      <x:c r="H23" s="84"/>
    </x:row>
  </x:sheetData>
  <x:mergeCells>
    <x:mergeCell ref="A1:H1"/>
    <x:mergeCell ref="A2:H2"/>
    <x:mergeCell ref="A22:G22"/>
    <x:mergeCell ref="B23:G23"/>
  </x:mergeCells>
  <x:conditionalFormatting sqref="G5:G19">
    <x:cfRule type="containsText" dxfId="6" priority="1" operator="containsText" text="OK"/>
    <x:cfRule type="containsText" dxfId="7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20" hidden="0" customWidth="1"/>
    <x:col min="4" max="4" width="72" hidden="0" customWidth="1"/>
    <x:col min="5" max="5" width="16" hidden="0" customWidth="1"/>
    <x:col min="6" max="6" width="34" hidden="0" customWidth="1"/>
    <x:col min="7" max="7" width="24" hidden="0" customWidth="1"/>
    <x:col min="8" max="8" width="46" hidden="0" customWidth="1"/>
  </x:cols>
  <x:sheetData>
    <x:row r="1" ht="32" customHeight="1">
      <x:c r="A1" s="3" t="str">
        <x:v>DIRTYWORKS.AI / SOURCES + AUDIT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91" t="str">
        <x:v>Internal documents define commercial hypotheses. External sources support market context, not forecast outputs.</x:v>
      </x:c>
      <x:c r="B2" s="91"/>
      <x:c r="C2" s="91"/>
      <x:c r="D2" s="91"/>
      <x:c r="E2" s="91"/>
      <x:c r="F2" s="91"/>
      <x:c r="G2" s="91"/>
      <x:c r="H2" s="91"/>
    </x:row>
    <x:row r="3">
      <x:c r="A3" s="84"/>
      <x:c r="B3" s="84"/>
      <x:c r="C3" s="84"/>
      <x:c r="D3" s="84"/>
      <x:c r="E3" s="84"/>
      <x:c r="F3" s="84"/>
      <x:c r="G3" s="84"/>
      <x:c r="H3" s="84"/>
    </x:row>
    <x:row r="4">
      <x:c r="A4" s="15" t="str">
        <x:v>ID</x:v>
      </x:c>
      <x:c r="B4" s="16" t="str">
        <x:v>Item</x:v>
      </x:c>
      <x:c r="C4" s="16" t="str">
        <x:v>Source type</x:v>
      </x:c>
      <x:c r="D4" s="16" t="str">
        <x:v>Source / URL</x:v>
      </x:c>
      <x:c r="E4" s="16" t="str">
        <x:v>As of</x:v>
      </x:c>
      <x:c r="F4" s="16" t="str">
        <x:v>Used for</x:v>
      </x:c>
      <x:c r="G4" s="16" t="str">
        <x:v>Evidence status</x:v>
      </x:c>
      <x:c r="H4" s="17" t="str">
        <x:v>Notes</x:v>
      </x:c>
    </x:row>
    <x:row r="5" ht="15" hidden="0" customHeight="1">
      <x:c r="A5" s="84" t="str">
        <x:v>S-001</x:v>
      </x:c>
      <x:c r="B5" s="90" t="str">
        <x:v>Offer and pricing model</x:v>
      </x:c>
      <x:c r="C5" s="84" t="str">
        <x:v>Internal</x:v>
      </x:c>
      <x:c r="D5" s="125" t="str">
        <x:v>documents/business-plan/offer-and-pricing-model.md</x:v>
      </x:c>
      <x:c r="E5" s="84" t="str">
        <x:v>2026-08-25</x:v>
      </x:c>
      <x:c r="F5" s="84" t="str">
        <x:v>Prices, hours, margin targets, commercial rules</x:v>
      </x:c>
      <x:c r="G5" s="84" t="str">
        <x:v>Hypothesis</x:v>
      </x:c>
      <x:c r="H5" s="90" t="str">
        <x:v>Not a public rate card.</x:v>
      </x:c>
    </x:row>
    <x:row r="6" ht="15" hidden="0" customHeight="1">
      <x:c r="A6" s="84" t="str">
        <x:v>S-002</x:v>
      </x:c>
      <x:c r="B6" s="90" t="str">
        <x:v>Experiment capital and capacity plan</x:v>
      </x:c>
      <x:c r="C6" s="84" t="str">
        <x:v>Internal</x:v>
      </x:c>
      <x:c r="D6" s="125" t="str">
        <x:v>documents/business-plan/experiment-capital-and-capacity-plan.md</x:v>
      </x:c>
      <x:c r="E6" s="84" t="str">
        <x:v>2026-08-25</x:v>
      </x:c>
      <x:c r="F6" s="84" t="str">
        <x:v>Founder capacity and staged capital</x:v>
      </x:c>
      <x:c r="G6" s="84" t="str">
        <x:v>Sponsor constraint / hypothesis</x:v>
      </x:c>
      <x:c r="H6" s="90" t="str">
        <x:v>Capital is evidence-gated.</x:v>
      </x:c>
    </x:row>
    <x:row r="7" ht="15" hidden="0" customHeight="1">
      <x:c r="A7" s="84" t="str">
        <x:v>S-003</x:v>
      </x:c>
      <x:c r="B7" s="90" t="str">
        <x:v>Master business strategy</x:v>
      </x:c>
      <x:c r="C7" s="84" t="str">
        <x:v>Internal</x:v>
      </x:c>
      <x:c r="D7" s="125" t="str">
        <x:v>documents/strategy/business-strategy.md</x:v>
      </x:c>
      <x:c r="E7" s="84" t="str">
        <x:v>2026-08-25</x:v>
      </x:c>
      <x:c r="F7" s="84" t="str">
        <x:v>Market, ICP, 18-month outcome targets</x:v>
      </x:c>
      <x:c r="G7" s="84" t="str">
        <x:v>Working strategy</x:v>
      </x:c>
      <x:c r="H7" s="90" t="str">
        <x:v>Primary research has not started.</x:v>
      </x:c>
    </x:row>
    <x:row r="8" ht="15" hidden="0" customHeight="1">
      <x:c r="A8" s="84" t="str">
        <x:v>S-004</x:v>
      </x:c>
      <x:c r="B8" s="90" t="str">
        <x:v>MSP channel strategy</x:v>
      </x:c>
      <x:c r="C8" s="84" t="str">
        <x:v>Internal</x:v>
      </x:c>
      <x:c r="D8" s="125" t="str">
        <x:v>documents/strategy/msp-channel-strategy.md</x:v>
      </x:c>
      <x:c r="E8" s="84" t="str">
        <x:v>2026-08-25</x:v>
      </x:c>
      <x:c r="F8" s="84" t="str">
        <x:v>Referral/co-managed/white-label economics</x:v>
      </x:c>
      <x:c r="G8" s="84" t="str">
        <x:v>Hypothesis</x:v>
      </x:c>
      <x:c r="H8" s="90" t="str">
        <x:v>Partner responsibilities must justify discount.</x:v>
      </x:c>
    </x:row>
    <x:row r="9" ht="15" hidden="0" customHeight="1">
      <x:c r="A9" s="84" t="str">
        <x:v>S-005</x:v>
      </x:c>
      <x:c r="B9" s="90" t="str">
        <x:v>Business operating scorecard</x:v>
      </x:c>
      <x:c r="C9" s="84" t="str">
        <x:v>Internal</x:v>
      </x:c>
      <x:c r="D9" s="125" t="str">
        <x:v>documents/operations/business-scorecard.md</x:v>
      </x:c>
      <x:c r="E9" s="84" t="str">
        <x:v>2026-08-25</x:v>
      </x:c>
      <x:c r="F9" s="84" t="str">
        <x:v>Conversion and margin thresholds</x:v>
      </x:c>
      <x:c r="G9" s="84" t="str">
        <x:v>Hypothesis</x:v>
      </x:c>
      <x:c r="H9" s="90" t="str">
        <x:v>No operating data yet.</x:v>
      </x:c>
    </x:row>
    <x:row r="10" ht="15" hidden="0" customHeight="1">
      <x:c r="A10" s="84" t="str">
        <x:v>S-006</x:v>
      </x:c>
      <x:c r="B10" s="90" t="str">
        <x:v>AI adoption among Canadian businesses</x:v>
      </x:c>
      <x:c r="C10" s="84" t="str">
        <x:v>External primary</x:v>
      </x:c>
      <x:c r="D10" s="125" t="str">
        <x:v>https://www150.statcan.gc.ca/n1/daily-quotidien/260527/dq260527a-eng.htm</x:v>
      </x:c>
      <x:c r="E10" s="84" t="str">
        <x:v>2026-Q2</x:v>
      </x:c>
      <x:c r="F10" s="84" t="str">
        <x:v>Deck market context</x:v>
      </x:c>
      <x:c r="G10" s="84" t="str">
        <x:v>Evidence</x:v>
      </x:c>
      <x:c r="H10" s="90" t="str">
        <x:v>19.2% used AI; not used as a financial-model driver.</x:v>
      </x:c>
    </x:row>
    <x:row r="11" ht="15" hidden="0" customHeight="1">
      <x:c r="A11" s="84" t="str">
        <x:v>S-007</x:v>
      </x:c>
      <x:c r="B11" s="90" t="str">
        <x:v>Business outsourcing in Canada</x:v>
      </x:c>
      <x:c r="C11" s="84" t="str">
        <x:v>External primary</x:v>
      </x:c>
      <x:c r="D11" s="125" t="str">
        <x:v>https://www150.statcan.gc.ca/n1/pub/11-621-m/11-621-m2025006-eng.htm</x:v>
      </x:c>
      <x:c r="E11" s="84" t="str">
        <x:v>2025-Q1</x:v>
      </x:c>
      <x:c r="F11" s="84" t="str">
        <x:v>Deck market context</x:v>
      </x:c>
      <x:c r="G11" s="84" t="str">
        <x:v>Evidence</x:v>
      </x:c>
      <x:c r="H11" s="90" t="str">
        <x:v>Supports channel plausibility; not willingness-to-pay proof.</x:v>
      </x:c>
    </x:row>
    <x:row r="12" ht="26.399999618530273" hidden="0" customHeight="1">
      <x:c r="A12" s="84" t="str">
        <x:v>S-008</x:v>
      </x:c>
      <x:c r="B12" s="90" t="str">
        <x:v>Alberta Small Business Profile 2024</x:v>
      </x:c>
      <x:c r="C12" s="84" t="str">
        <x:v>External primary</x:v>
      </x:c>
      <x:c r="D12" s="125" t="str">
        <x:v>https://open.alberta.ca/dataset/cc1c3dcf-d39e-4afa-9eff-32bda3759b79/resource/b60aeadc-c7bd-41ef-9115-c6b3a1f8588b/download/jet-alberta-small-business-profile-2024-10.pdf</x:v>
      </x:c>
      <x:c r="E12" s="84" t="str">
        <x:v>2023 data</x:v>
      </x:c>
      <x:c r="F12" s="84" t="str">
        <x:v>Professional-services lane context</x:v>
      </x:c>
      <x:c r="G12" s="84" t="str">
        <x:v>Evidence</x:v>
      </x:c>
      <x:c r="H12" s="90" t="str">
        <x:v>Not yet converted into a target-account TAM.</x:v>
      </x:c>
    </x:row>
    <x:row r="13" ht="26.399999618530273" hidden="0" customHeight="1">
      <x:c r="A13" s="84" t="str">
        <x:v>S-009</x:v>
      </x:c>
      <x:c r="B13" s="90" t="str">
        <x:v>Office of the Privacy Commissioner AI principles</x:v>
      </x:c>
      <x:c r="C13" s="84" t="str">
        <x:v>External primary</x:v>
      </x:c>
      <x:c r="D13" s="125" t="str">
        <x:v>https://www.priv.gc.ca/en/privacy-topics/ai-technology-and-innovation/artificial-intelligence/gd_principles_ai/</x:v>
      </x:c>
      <x:c r="E13" s="84" t="str">
        <x:v>Current reference</x:v>
      </x:c>
      <x:c r="F13" s="84" t="str">
        <x:v>Risk posture</x:v>
      </x:c>
      <x:c r="G13" s="84" t="str">
        <x:v>Evidence</x:v>
      </x:c>
      <x:c r="H13" s="90" t="str">
        <x:v>Operating controls, not formal certification.</x:v>
      </x:c>
    </x:row>
  </x:sheetData>
  <x:mergeCells>
    <x:mergeCell ref="A1:H1"/>
    <x:mergeCell ref="A2:H2"/>
  </x:mergeCells>
  <x:pageMargins left="0.7" right="0.7" top="0.75" bottom="0.75" header="0.3" footer="0.3"/>
</x:worksheet>
</file>